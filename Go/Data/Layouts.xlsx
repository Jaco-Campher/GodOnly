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sonal\_Projects\Go\Go\Data\"/>
    </mc:Choice>
  </mc:AlternateContent>
  <xr:revisionPtr revIDLastSave="0" documentId="13_ncr:1_{C252C002-58C9-43BE-9B1F-B7AB607AA8E9}" xr6:coauthVersionLast="47" xr6:coauthVersionMax="47" xr10:uidLastSave="{00000000-0000-0000-0000-000000000000}"/>
  <bookViews>
    <workbookView xWindow="-108" yWindow="-108" windowWidth="30936" windowHeight="18696" xr2:uid="{356931C4-DA09-42DD-8292-57BC20ABEDAB}"/>
  </bookViews>
  <sheets>
    <sheet name="Progress Layout" sheetId="15" r:id="rId1"/>
    <sheet name="Tabs Layout" sheetId="1" r:id="rId2"/>
    <sheet name="Seal 1 Layout" sheetId="2" r:id="rId3"/>
    <sheet name="Seal 2 Layout" sheetId="3" r:id="rId4"/>
    <sheet name="Seal 3 Layout" sheetId="4" r:id="rId5"/>
    <sheet name="Seal 4 Layout" sheetId="5" r:id="rId6"/>
    <sheet name="Seal 5 Layout" sheetId="6" r:id="rId7"/>
    <sheet name="Seal 6 Layout" sheetId="7" r:id="rId8"/>
    <sheet name="Rapture Layout" sheetId="8" r:id="rId9"/>
    <sheet name="Seal 7 Layout" sheetId="9" r:id="rId10"/>
    <sheet name="Trumpet 1" sheetId="10" r:id="rId11"/>
    <sheet name="Trumpet 2" sheetId="11" r:id="rId12"/>
    <sheet name="Trumpet 3" sheetId="12" r:id="rId13"/>
    <sheet name="Trumpet 4" sheetId="13" r:id="rId14"/>
    <sheet name="Trumpet 5" sheetId="14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2" i="15" l="1"/>
  <c r="A43" i="15"/>
  <c r="A44" i="15"/>
  <c r="A45" i="15"/>
  <c r="A46" i="15"/>
  <c r="A47" i="15"/>
  <c r="A48" i="15"/>
  <c r="A49" i="15"/>
  <c r="A50" i="15"/>
  <c r="A51" i="15"/>
  <c r="A52" i="15"/>
  <c r="A53" i="15"/>
  <c r="A54" i="15"/>
  <c r="A27" i="15"/>
  <c r="A28" i="15"/>
  <c r="A29" i="15"/>
  <c r="A30" i="15"/>
  <c r="A31" i="15"/>
  <c r="A32" i="15"/>
  <c r="A33" i="15"/>
  <c r="A34" i="15"/>
  <c r="A35" i="15"/>
  <c r="A36" i="15"/>
  <c r="A37" i="15"/>
  <c r="A38" i="15"/>
  <c r="A13" i="15"/>
  <c r="A8" i="15"/>
  <c r="I7" i="15"/>
  <c r="I12" i="15" s="1"/>
  <c r="I17" i="15" s="1"/>
  <c r="I21" i="15" s="1"/>
  <c r="I26" i="15" s="1"/>
  <c r="I31" i="15" s="1"/>
  <c r="I35" i="15" s="1"/>
  <c r="I39" i="15" s="1"/>
  <c r="I43" i="15" s="1"/>
  <c r="I47" i="15" s="1"/>
  <c r="I49" i="15" s="1"/>
  <c r="I54" i="15" s="1"/>
  <c r="H6" i="15"/>
  <c r="H9" i="15" s="1"/>
  <c r="H11" i="15" s="1"/>
  <c r="H14" i="15" s="1"/>
  <c r="H16" i="15" s="1"/>
  <c r="H20" i="15" s="1"/>
  <c r="H23" i="15" s="1"/>
  <c r="H25" i="15" s="1"/>
  <c r="H28" i="15" s="1"/>
  <c r="H30" i="15" s="1"/>
  <c r="H33" i="15" s="1"/>
  <c r="H35" i="15" s="1"/>
  <c r="H38" i="15" s="1"/>
  <c r="H40" i="15" s="1"/>
  <c r="H42" i="15" s="1"/>
  <c r="H44" i="15" s="1"/>
  <c r="H46" i="15" s="1"/>
  <c r="H48" i="15" s="1"/>
  <c r="H50" i="15" s="1"/>
  <c r="H53" i="15" s="1"/>
  <c r="A5" i="15"/>
  <c r="A6" i="15"/>
  <c r="A7" i="15"/>
  <c r="A9" i="15"/>
  <c r="A10" i="15"/>
  <c r="A11" i="15"/>
  <c r="A12" i="15"/>
  <c r="A14" i="15"/>
  <c r="A15" i="15"/>
  <c r="A16" i="15"/>
  <c r="A17" i="15"/>
  <c r="A18" i="15"/>
  <c r="A19" i="15"/>
  <c r="A20" i="15"/>
  <c r="A21" i="15"/>
  <c r="A22" i="15"/>
  <c r="A23" i="15"/>
  <c r="A24" i="15"/>
  <c r="A25" i="15"/>
  <c r="A26" i="15"/>
  <c r="A39" i="15"/>
  <c r="A40" i="15"/>
  <c r="A41" i="15"/>
  <c r="A55" i="15"/>
  <c r="A4" i="15"/>
  <c r="B40" i="14"/>
  <c r="B39" i="14"/>
  <c r="B38" i="14"/>
  <c r="B37" i="14"/>
  <c r="B36" i="14"/>
  <c r="B35" i="14"/>
  <c r="B34" i="14"/>
  <c r="B33" i="14"/>
  <c r="B32" i="14"/>
  <c r="B31" i="14"/>
  <c r="B30" i="14"/>
  <c r="B29" i="14"/>
  <c r="B28" i="14"/>
  <c r="B27" i="14"/>
  <c r="B26" i="14"/>
  <c r="B25" i="14"/>
  <c r="B24" i="14"/>
  <c r="B23" i="14"/>
  <c r="B22" i="14"/>
  <c r="B21" i="14"/>
  <c r="B20" i="14"/>
  <c r="B19" i="14"/>
  <c r="B18" i="14"/>
  <c r="B17" i="14"/>
  <c r="B16" i="14"/>
  <c r="B15" i="14"/>
  <c r="B14" i="14"/>
  <c r="B13" i="14"/>
  <c r="B12" i="14"/>
  <c r="B11" i="14"/>
  <c r="B10" i="14"/>
  <c r="B9" i="14"/>
  <c r="B8" i="14"/>
  <c r="B7" i="14"/>
  <c r="B6" i="14"/>
  <c r="B5" i="14"/>
  <c r="B4" i="14"/>
  <c r="C1" i="14"/>
  <c r="B56" i="9"/>
  <c r="B55" i="9"/>
  <c r="B54" i="9"/>
  <c r="B53" i="9"/>
  <c r="B52" i="9"/>
  <c r="B51" i="9"/>
  <c r="B50" i="9"/>
  <c r="B49" i="9"/>
  <c r="B48" i="9"/>
  <c r="B47" i="9"/>
  <c r="B46" i="9"/>
  <c r="B45" i="9"/>
  <c r="B44" i="9"/>
  <c r="B43" i="9"/>
  <c r="B42" i="9"/>
  <c r="B41" i="9"/>
  <c r="B40" i="9"/>
  <c r="B58" i="8"/>
  <c r="B57" i="8"/>
  <c r="B56" i="8"/>
  <c r="B55" i="8"/>
  <c r="B54" i="8"/>
  <c r="B53" i="8"/>
  <c r="B52" i="8"/>
  <c r="B51" i="8"/>
  <c r="B50" i="8"/>
  <c r="B49" i="8"/>
  <c r="B48" i="8"/>
  <c r="B47" i="8"/>
  <c r="B46" i="8"/>
  <c r="B45" i="8"/>
  <c r="B44" i="8"/>
  <c r="B43" i="8"/>
  <c r="B42" i="8"/>
  <c r="B41" i="8"/>
  <c r="B40" i="13"/>
  <c r="B39" i="13"/>
  <c r="B38" i="13"/>
  <c r="B37" i="13"/>
  <c r="B36" i="13"/>
  <c r="B35" i="13"/>
  <c r="B34" i="13"/>
  <c r="B33" i="13"/>
  <c r="B32" i="13"/>
  <c r="B31" i="13"/>
  <c r="B30" i="13"/>
  <c r="B29" i="13"/>
  <c r="B28" i="13"/>
  <c r="B27" i="13"/>
  <c r="B26" i="13"/>
  <c r="B25" i="13"/>
  <c r="B24" i="13"/>
  <c r="B23" i="13"/>
  <c r="B22" i="13"/>
  <c r="B21" i="13"/>
  <c r="B20" i="13"/>
  <c r="B19" i="13"/>
  <c r="B18" i="13"/>
  <c r="B17" i="13"/>
  <c r="B16" i="13"/>
  <c r="B15" i="13"/>
  <c r="B14" i="13"/>
  <c r="B13" i="13"/>
  <c r="B12" i="13"/>
  <c r="B11" i="13"/>
  <c r="B10" i="13"/>
  <c r="B9" i="13"/>
  <c r="B8" i="13"/>
  <c r="B7" i="13"/>
  <c r="B6" i="13"/>
  <c r="B5" i="13"/>
  <c r="B4" i="13"/>
  <c r="C1" i="13"/>
  <c r="B40" i="12"/>
  <c r="B39" i="12"/>
  <c r="B38" i="12"/>
  <c r="B37" i="12"/>
  <c r="B36" i="12"/>
  <c r="B35" i="12"/>
  <c r="B34" i="12"/>
  <c r="B33" i="12"/>
  <c r="B32" i="12"/>
  <c r="B31" i="12"/>
  <c r="B30" i="12"/>
  <c r="B29" i="12"/>
  <c r="B28" i="12"/>
  <c r="B27" i="12"/>
  <c r="B26" i="12"/>
  <c r="B25" i="12"/>
  <c r="B24" i="12"/>
  <c r="B23" i="12"/>
  <c r="B22" i="12"/>
  <c r="B21" i="12"/>
  <c r="B20" i="12"/>
  <c r="B19" i="12"/>
  <c r="B18" i="12"/>
  <c r="B17" i="12"/>
  <c r="B16" i="12"/>
  <c r="B15" i="12"/>
  <c r="B14" i="12"/>
  <c r="B13" i="12"/>
  <c r="B12" i="12"/>
  <c r="B11" i="12"/>
  <c r="B10" i="12"/>
  <c r="B9" i="12"/>
  <c r="B8" i="12"/>
  <c r="B7" i="12"/>
  <c r="B6" i="12"/>
  <c r="B5" i="12"/>
  <c r="B4" i="12"/>
  <c r="B40" i="11"/>
  <c r="B39" i="11"/>
  <c r="C1" i="12"/>
  <c r="B38" i="10"/>
  <c r="B37" i="10"/>
  <c r="B36" i="10"/>
  <c r="B35" i="10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A36" i="1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A30" i="1"/>
  <c r="A31" i="1"/>
  <c r="A32" i="1"/>
  <c r="A33" i="1"/>
  <c r="A34" i="1"/>
  <c r="A35" i="1"/>
  <c r="B21" i="2"/>
  <c r="B22" i="2"/>
  <c r="B23" i="2"/>
  <c r="B24" i="2"/>
  <c r="B25" i="2"/>
  <c r="B26" i="2"/>
  <c r="B27" i="2"/>
  <c r="B28" i="2"/>
  <c r="B29" i="2"/>
  <c r="B30" i="2"/>
  <c r="B31" i="2"/>
  <c r="B32" i="2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4" i="5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C1" i="11"/>
  <c r="B4" i="11"/>
  <c r="B5" i="11"/>
  <c r="B6" i="11"/>
  <c r="B7" i="11"/>
  <c r="B8" i="11"/>
  <c r="B9" i="11"/>
  <c r="B10" i="11"/>
  <c r="B11" i="11"/>
  <c r="B12" i="11"/>
  <c r="B13" i="11"/>
  <c r="B14" i="11"/>
  <c r="B15" i="11"/>
  <c r="B16" i="11"/>
  <c r="B17" i="11"/>
  <c r="B18" i="11"/>
  <c r="B19" i="11"/>
  <c r="B20" i="11"/>
  <c r="B21" i="11"/>
  <c r="B22" i="11"/>
  <c r="B23" i="11"/>
  <c r="B24" i="11"/>
  <c r="B25" i="11"/>
  <c r="B26" i="11"/>
  <c r="B27" i="11"/>
  <c r="B28" i="11"/>
  <c r="B29" i="11"/>
  <c r="B30" i="11"/>
  <c r="B31" i="11"/>
  <c r="B32" i="11"/>
  <c r="B33" i="11"/>
  <c r="B34" i="11"/>
  <c r="B35" i="11"/>
  <c r="B36" i="11"/>
  <c r="B37" i="11"/>
  <c r="B38" i="11"/>
  <c r="C1" i="10"/>
  <c r="B4" i="10"/>
  <c r="B5" i="10"/>
  <c r="B6" i="10"/>
  <c r="B7" i="10"/>
  <c r="B8" i="10"/>
  <c r="B9" i="10"/>
  <c r="B10" i="10"/>
  <c r="B11" i="10"/>
  <c r="B12" i="10"/>
  <c r="B13" i="10"/>
  <c r="B14" i="10"/>
  <c r="B15" i="10"/>
  <c r="B16" i="10"/>
  <c r="B17" i="10"/>
  <c r="B18" i="10"/>
  <c r="B19" i="10"/>
  <c r="B20" i="10"/>
  <c r="B21" i="10"/>
  <c r="B22" i="10"/>
  <c r="B23" i="10"/>
  <c r="B24" i="10"/>
  <c r="B25" i="10"/>
  <c r="B26" i="10"/>
  <c r="B27" i="10"/>
  <c r="B28" i="10"/>
  <c r="B29" i="10"/>
  <c r="B30" i="10"/>
  <c r="B31" i="10"/>
  <c r="B32" i="10"/>
  <c r="B33" i="10"/>
  <c r="B34" i="10"/>
  <c r="C1" i="9"/>
  <c r="B4" i="9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C1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C1" i="7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C1" i="6"/>
  <c r="C1" i="5"/>
  <c r="C1" i="4"/>
  <c r="C1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C1" i="2"/>
  <c r="B4" i="2"/>
  <c r="A4" i="1"/>
  <c r="D5" i="1"/>
  <c r="E5" i="1" s="1"/>
  <c r="F5" i="1"/>
  <c r="G5" i="1" s="1"/>
  <c r="H5" i="1"/>
  <c r="I5" i="1" s="1"/>
  <c r="J5" i="1"/>
  <c r="K5" i="1" s="1"/>
  <c r="L5" i="1"/>
  <c r="M5" i="1" s="1"/>
  <c r="N5" i="1"/>
  <c r="O5" i="1" s="1"/>
  <c r="R5" i="1"/>
  <c r="Q5" i="1" s="1"/>
  <c r="P5" i="1" s="1"/>
  <c r="T5" i="1"/>
  <c r="U5" i="1" s="1"/>
  <c r="V5" i="1"/>
  <c r="W5" i="1"/>
  <c r="X5" i="1"/>
  <c r="Y5" i="1"/>
  <c r="Z5" i="1"/>
  <c r="AA5" i="1" s="1"/>
  <c r="AB5" i="1"/>
  <c r="AC5" i="1" s="1"/>
  <c r="AD5" i="1"/>
  <c r="AE5" i="1" s="1"/>
  <c r="AH5" i="1"/>
  <c r="AG5" i="1" s="1"/>
  <c r="AF5" i="1" s="1"/>
  <c r="AJ5" i="1"/>
  <c r="AK5" i="1" s="1"/>
  <c r="AL5" i="1"/>
  <c r="AM5" i="1" s="1"/>
  <c r="AN5" i="1"/>
  <c r="AO5" i="1" s="1"/>
  <c r="AP5" i="1"/>
  <c r="AQ5" i="1" s="1"/>
  <c r="AR5" i="1"/>
  <c r="AS5" i="1"/>
  <c r="AT5" i="1"/>
  <c r="AU5" i="1"/>
  <c r="AX5" i="1"/>
  <c r="AY5" i="1" s="1"/>
  <c r="C6" i="1"/>
  <c r="B1" i="1" s="1"/>
  <c r="E6" i="1"/>
  <c r="G6" i="1"/>
  <c r="I6" i="1"/>
  <c r="K6" i="1"/>
  <c r="M6" i="1"/>
  <c r="O6" i="1"/>
  <c r="Q6" i="1"/>
  <c r="S6" i="1"/>
  <c r="U6" i="1"/>
  <c r="W6" i="1"/>
  <c r="Y6" i="1"/>
  <c r="AA6" i="1"/>
  <c r="AC6" i="1"/>
  <c r="AE6" i="1"/>
  <c r="AG6" i="1"/>
  <c r="AI6" i="1"/>
  <c r="AK6" i="1"/>
  <c r="AM6" i="1"/>
  <c r="AO6" i="1"/>
  <c r="AQ6" i="1"/>
  <c r="AS6" i="1"/>
  <c r="AU6" i="1"/>
  <c r="AW6" i="1"/>
  <c r="AY6" i="1"/>
  <c r="BA6" i="1"/>
  <c r="BC6" i="1"/>
  <c r="BE6" i="1"/>
  <c r="BG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B1" i="15" l="1"/>
  <c r="B2" i="15"/>
  <c r="C2" i="14"/>
  <c r="C2" i="13"/>
  <c r="C2" i="12"/>
  <c r="C2" i="9"/>
  <c r="C2" i="11"/>
  <c r="C2" i="10"/>
  <c r="C2" i="8"/>
  <c r="C2" i="7"/>
  <c r="C2" i="6"/>
  <c r="C2" i="5"/>
  <c r="C2" i="4"/>
  <c r="C2" i="3"/>
  <c r="C2" i="2"/>
  <c r="S5" i="1"/>
  <c r="A6" i="1"/>
  <c r="B2" i="1" s="1"/>
  <c r="AI5" i="1"/>
  <c r="A5" i="1" s="1"/>
</calcChain>
</file>

<file path=xl/sharedStrings.xml><?xml version="1.0" encoding="utf-8"?>
<sst xmlns="http://schemas.openxmlformats.org/spreadsheetml/2006/main" count="5963" uniqueCount="767">
  <si>
    <t>tab-judgement-end</t>
  </si>
  <si>
    <t>.</t>
  </si>
  <si>
    <t>tab-end-1000-end</t>
  </si>
  <si>
    <t>tab-1000-end</t>
  </si>
  <si>
    <t>tab-pre-1000-end</t>
  </si>
  <si>
    <t>tab-vial-7-end</t>
  </si>
  <si>
    <t>tab-thief-end</t>
  </si>
  <si>
    <t>tab-vial-6-end</t>
  </si>
  <si>
    <t>tab-vial-5-end</t>
  </si>
  <si>
    <t>tab-vial-4-end</t>
  </si>
  <si>
    <t>tab-vial-3-end</t>
  </si>
  <si>
    <t>tab-vial-2-end</t>
  </si>
  <si>
    <t>tab-vial-1-end</t>
  </si>
  <si>
    <t>tab-trumpet-7-end</t>
  </si>
  <si>
    <t>tab-ascension-end</t>
  </si>
  <si>
    <t>tab-trumpet-6-end</t>
  </si>
  <si>
    <t>tab-trumpet-5-end</t>
  </si>
  <si>
    <t>tab-trumpet-4-end</t>
  </si>
  <si>
    <t>tab-trumpet-3-end</t>
  </si>
  <si>
    <t>tab-trumpet-2-end</t>
  </si>
  <si>
    <t>tab-trumpet-1-end</t>
  </si>
  <si>
    <t>tab-seal-7-end</t>
  </si>
  <si>
    <t>tab-rapture-end</t>
  </si>
  <si>
    <t>tab-seal-6-end</t>
  </si>
  <si>
    <t>tab-seal-5-end</t>
  </si>
  <si>
    <t>tab-seal-4-end</t>
  </si>
  <si>
    <t>tab-seal-3-end</t>
  </si>
  <si>
    <t>tab-seal-2-end</t>
  </si>
  <si>
    <t>tab-seal-1-end</t>
  </si>
  <si>
    <t>tab-rev-12-end</t>
  </si>
  <si>
    <t xml:space="preserve"> </t>
  </si>
  <si>
    <t>tj-enoch-80-2b</t>
  </si>
  <si>
    <t>tj-gad-14-9a</t>
  </si>
  <si>
    <t>tj-gad-14-4</t>
  </si>
  <si>
    <t>tj-1thess-4-16a-s</t>
  </si>
  <si>
    <t>tj-es2-2-37</t>
  </si>
  <si>
    <t>tj-es2-2-34-s</t>
  </si>
  <si>
    <t>tj-es2-5-3</t>
  </si>
  <si>
    <t>tj-es2-15-13a</t>
  </si>
  <si>
    <t>tj-es2-15-11a</t>
  </si>
  <si>
    <t>tj-es2-15-8b</t>
  </si>
  <si>
    <t>tj-es2-15-6</t>
  </si>
  <si>
    <t>tj-rev-18-1</t>
  </si>
  <si>
    <t>tj-rev-21-16</t>
  </si>
  <si>
    <t>tj-rev-21-10a</t>
  </si>
  <si>
    <t>tj-song-2-13a</t>
  </si>
  <si>
    <t>tj-ba2-30-2c</t>
  </si>
  <si>
    <t>tj-ba2-30-2a</t>
  </si>
  <si>
    <t>tj-rev-4-5</t>
  </si>
  <si>
    <t>tj-rev-4-3</t>
  </si>
  <si>
    <t>tj-rev-4-2</t>
  </si>
  <si>
    <t>tj-rev-13-5b</t>
  </si>
  <si>
    <t>tj-rev-13-5a</t>
  </si>
  <si>
    <t>tj-rev-11-6c</t>
  </si>
  <si>
    <t>tj-rev-11-6a</t>
  </si>
  <si>
    <t>tj-rev-11-1</t>
  </si>
  <si>
    <t>tj-gad-2-26</t>
  </si>
  <si>
    <t>tj-dan-12-7b</t>
  </si>
  <si>
    <t>tj-rev-14-7c</t>
  </si>
  <si>
    <t>tj-rev-14-7b</t>
  </si>
  <si>
    <t>tj-rev-14-7a</t>
  </si>
  <si>
    <t>tj-luke-21-26b</t>
  </si>
  <si>
    <t>tj-rev-10-6c</t>
  </si>
  <si>
    <t>tj-rev-10-6b</t>
  </si>
  <si>
    <t>tj-rev-10-5</t>
  </si>
  <si>
    <t>tj-mark-13-26</t>
  </si>
  <si>
    <t>tj-mrk-13-24a-s</t>
  </si>
  <si>
    <t>tj-rev-8-8</t>
  </si>
  <si>
    <t>tj-rev-8-7</t>
  </si>
  <si>
    <t>tj-rev-8-6</t>
  </si>
  <si>
    <t>tj-mat-24-30b</t>
  </si>
  <si>
    <t>tj-mat-24-29a-s</t>
  </si>
  <si>
    <t>tj-job-5-19-s</t>
  </si>
  <si>
    <t>tj-rev-7-9</t>
  </si>
  <si>
    <t>tj-rev-7-1</t>
  </si>
  <si>
    <t>tj-rev-6-16</t>
  </si>
  <si>
    <t>tj-seal-5</t>
  </si>
  <si>
    <t>tj-seal-4</t>
  </si>
  <si>
    <t>tj-seal-3</t>
  </si>
  <si>
    <t>tj-seal-2</t>
  </si>
  <si>
    <t>tj-seal-1</t>
  </si>
  <si>
    <t>tj-rev-5-9c</t>
  </si>
  <si>
    <t>tj-rev-12-6</t>
  </si>
  <si>
    <t>tj-rev-12-4</t>
  </si>
  <si>
    <t>tj-rev-12-3</t>
  </si>
  <si>
    <t>tj-rev-12-2</t>
  </si>
  <si>
    <t>tab-judgement</t>
  </si>
  <si>
    <t>tab-end-1000</t>
  </si>
  <si>
    <t>tab-1000</t>
  </si>
  <si>
    <t>tab-pre-1000</t>
  </si>
  <si>
    <t>tab-vial-7</t>
  </si>
  <si>
    <t>tab-thief</t>
  </si>
  <si>
    <t>tab-vial-6</t>
  </si>
  <si>
    <t>tab-vial-5</t>
  </si>
  <si>
    <t>tab-vial-4</t>
  </si>
  <si>
    <t>tab-vial-3</t>
  </si>
  <si>
    <t>tab-vial-2</t>
  </si>
  <si>
    <t>tab-vial-1</t>
  </si>
  <si>
    <t>tab-trumpet-7</t>
  </si>
  <si>
    <t>tab-ascension</t>
  </si>
  <si>
    <t>tab-trumpet-6</t>
  </si>
  <si>
    <t>tab-trumpet-5</t>
  </si>
  <si>
    <t>tab-trumpet-4</t>
  </si>
  <si>
    <t>tab-trumpet-3</t>
  </si>
  <si>
    <t>tab-trumpet-2</t>
  </si>
  <si>
    <t>tab-trumpet-1</t>
  </si>
  <si>
    <t>tab-seal-7</t>
  </si>
  <si>
    <t>tab-rapture</t>
  </si>
  <si>
    <t>tab-seal-6</t>
  </si>
  <si>
    <t>tab-seal-5</t>
  </si>
  <si>
    <t>tab-seal-4</t>
  </si>
  <si>
    <t>tab-seal-3</t>
  </si>
  <si>
    <t>tab-seal-2</t>
  </si>
  <si>
    <t>tab-seal-1</t>
  </si>
  <si>
    <t>tab-rev-12</t>
  </si>
  <si>
    <t>m-end</t>
  </si>
  <si>
    <t>m-start</t>
  </si>
  <si>
    <t>y-end</t>
  </si>
  <si>
    <t>y-2034</t>
  </si>
  <si>
    <t>y-2033</t>
  </si>
  <si>
    <t>y-2032</t>
  </si>
  <si>
    <t>y-2031</t>
  </si>
  <si>
    <t>y-2030</t>
  </si>
  <si>
    <t>y-2029</t>
  </si>
  <si>
    <t>y-2028</t>
  </si>
  <si>
    <t>y-2027</t>
  </si>
  <si>
    <t>y-2026</t>
  </si>
  <si>
    <t>y-2025</t>
  </si>
  <si>
    <t>y-2024</t>
  </si>
  <si>
    <t>y-2023</t>
  </si>
  <si>
    <t>y-start</t>
  </si>
  <si>
    <t>Rows</t>
  </si>
  <si>
    <t>Columns</t>
  </si>
  <si>
    <t>rev-6-2</t>
  </si>
  <si>
    <t>rev-6-1</t>
  </si>
  <si>
    <t>rev-6-3</t>
  </si>
  <si>
    <t>rev-6-6</t>
  </si>
  <si>
    <t>rev-6-5</t>
  </si>
  <si>
    <t>es2-15-6</t>
  </si>
  <si>
    <t>es2-15-5</t>
  </si>
  <si>
    <t>job-5-20</t>
  </si>
  <si>
    <t>job-5-19</t>
  </si>
  <si>
    <t>j-rev-6-8b</t>
  </si>
  <si>
    <t>rev-6-8b</t>
  </si>
  <si>
    <t>rev-6-7</t>
  </si>
  <si>
    <t>es2-15-9</t>
  </si>
  <si>
    <t>es2-15-8b</t>
  </si>
  <si>
    <t>es2-15-7</t>
  </si>
  <si>
    <t>j-es2-15-7</t>
  </si>
  <si>
    <t>rev-6-11</t>
  </si>
  <si>
    <t>rev-6-10</t>
  </si>
  <si>
    <t>j-rev-6-9</t>
  </si>
  <si>
    <t>rev-6-9</t>
  </si>
  <si>
    <t>gad-14-2b</t>
  </si>
  <si>
    <t>j-gad-14-2a</t>
  </si>
  <si>
    <t>gad-14-2a</t>
  </si>
  <si>
    <t>j-gad-14-1</t>
  </si>
  <si>
    <t>gad-14-1</t>
  </si>
  <si>
    <t>j-es2-15-8b</t>
  </si>
  <si>
    <t>j-song-2-13a</t>
  </si>
  <si>
    <t>song-2-13a</t>
  </si>
  <si>
    <t>j-song-2-13-s</t>
  </si>
  <si>
    <t>rev-4-2b</t>
  </si>
  <si>
    <t>j-rev-4-2a</t>
  </si>
  <si>
    <t>rev-4-2a</t>
  </si>
  <si>
    <t>j-rev-4-2</t>
  </si>
  <si>
    <t>j-luke-21-26b</t>
  </si>
  <si>
    <t>luke-21-26b</t>
  </si>
  <si>
    <t>luke-21-26a</t>
  </si>
  <si>
    <t>luke-21-25c</t>
  </si>
  <si>
    <t>luke-21-25b</t>
  </si>
  <si>
    <t>luke-21-25a</t>
  </si>
  <si>
    <t>j-luke-21-25-s</t>
  </si>
  <si>
    <t>j-mark-13-25b</t>
  </si>
  <si>
    <t>mark-13-25b</t>
  </si>
  <si>
    <t>j-mark-13-25a</t>
  </si>
  <si>
    <t>mark-13-25a</t>
  </si>
  <si>
    <t>mark-13-24b</t>
  </si>
  <si>
    <t>mark-13-24a</t>
  </si>
  <si>
    <t>j-mat-24-30a</t>
  </si>
  <si>
    <t>mat-24-30a</t>
  </si>
  <si>
    <t>mat-24-29d</t>
  </si>
  <si>
    <t>j-mat-24-29c</t>
  </si>
  <si>
    <t>mat-24-29c</t>
  </si>
  <si>
    <t>mat-24-29b</t>
  </si>
  <si>
    <t>mat-24-29a</t>
  </si>
  <si>
    <t>rev-6-16b</t>
  </si>
  <si>
    <t>rev-6-16a</t>
  </si>
  <si>
    <t>j-rev6-15</t>
  </si>
  <si>
    <t>rev-6-4</t>
  </si>
  <si>
    <t>j-rev6-11</t>
  </si>
  <si>
    <t>j-rev-12-4</t>
  </si>
  <si>
    <t>rev-12-4</t>
  </si>
  <si>
    <t>j-rev-12-3</t>
  </si>
  <si>
    <t>j-gad-14-9b-e</t>
  </si>
  <si>
    <t>gad-14-9b</t>
  </si>
  <si>
    <t>j-gad-14-9a</t>
  </si>
  <si>
    <t>gad-14-6</t>
  </si>
  <si>
    <t>gad-14-5</t>
  </si>
  <si>
    <t>j-gad-14-5</t>
  </si>
  <si>
    <t>j-thess-4-17-e</t>
  </si>
  <si>
    <t>thess-4-17</t>
  </si>
  <si>
    <t>thess-4-16b</t>
  </si>
  <si>
    <t>j-1thess-4-16a</t>
  </si>
  <si>
    <t>thess-4-16a</t>
  </si>
  <si>
    <t>j-es2-2-37</t>
  </si>
  <si>
    <t>es2-2-37</t>
  </si>
  <si>
    <t>es2-2-36</t>
  </si>
  <si>
    <t>j-es2-2-35</t>
  </si>
  <si>
    <t>es2-2-34</t>
  </si>
  <si>
    <t>es2-5-2</t>
  </si>
  <si>
    <t>es2-5-1</t>
  </si>
  <si>
    <t>j-es2-15-11a</t>
  </si>
  <si>
    <t>es2-15-10</t>
  </si>
  <si>
    <t>j-es2-15-9</t>
  </si>
  <si>
    <t>j-song-2-13-e</t>
  </si>
  <si>
    <t>song-2-13c</t>
  </si>
  <si>
    <t>song-2-13b</t>
  </si>
  <si>
    <t>j-ba2-30-2a</t>
  </si>
  <si>
    <t>ba2-30-2a</t>
  </si>
  <si>
    <t>j-ba2-30-1</t>
  </si>
  <si>
    <t>ba2-30-1</t>
  </si>
  <si>
    <t>j-rev-4-3</t>
  </si>
  <si>
    <t>rev-4-3</t>
  </si>
  <si>
    <t>j-rev-4-2b</t>
  </si>
  <si>
    <t>j-rev-11-1</t>
  </si>
  <si>
    <t>rev-11-1</t>
  </si>
  <si>
    <t>j-luke-21-27-e</t>
  </si>
  <si>
    <t>luke-21-27</t>
  </si>
  <si>
    <t>j-mark-13-27b-e</t>
  </si>
  <si>
    <t>mark-13-27b</t>
  </si>
  <si>
    <t>mark-13-27a</t>
  </si>
  <si>
    <t>j-mark-13-26</t>
  </si>
  <si>
    <t>mark-13-26</t>
  </si>
  <si>
    <t>j-mat-24-31b-e</t>
  </si>
  <si>
    <t>mat-24-31b</t>
  </si>
  <si>
    <t>mat-24-31a</t>
  </si>
  <si>
    <t>j-mat-24-30b</t>
  </si>
  <si>
    <t>mat-24-30b</t>
  </si>
  <si>
    <t>rev-7-1</t>
  </si>
  <si>
    <t>rev-6-17</t>
  </si>
  <si>
    <t>j-rev-12-5b</t>
  </si>
  <si>
    <t>rev-12-5b</t>
  </si>
  <si>
    <t>j-rev-12-5a</t>
  </si>
  <si>
    <t>rev-12-5a</t>
  </si>
  <si>
    <t>es2-16-12a</t>
  </si>
  <si>
    <t>es2-16-9</t>
  </si>
  <si>
    <t>j-es2-16-9-s</t>
  </si>
  <si>
    <t>j-es2-2-41-e</t>
  </si>
  <si>
    <t>es2-2-41</t>
  </si>
  <si>
    <t>es2-2-39</t>
  </si>
  <si>
    <t>j-es2-2-38</t>
  </si>
  <si>
    <t>es2-2-38</t>
  </si>
  <si>
    <t>j-es2-2-37a</t>
  </si>
  <si>
    <t>es2-15-11b</t>
  </si>
  <si>
    <t>j-es2-15-11aa</t>
  </si>
  <si>
    <t>j-rev-18-1</t>
  </si>
  <si>
    <t>rev-18-1</t>
  </si>
  <si>
    <t>j-ba2-30-2c</t>
  </si>
  <si>
    <t>ba2-30-2c</t>
  </si>
  <si>
    <t>j-ba2-30-2b</t>
  </si>
  <si>
    <t>ba2-30-2b</t>
  </si>
  <si>
    <t>j-ba2-30-2aa</t>
  </si>
  <si>
    <t>j-rev-4-5</t>
  </si>
  <si>
    <t>rev-4-5</t>
  </si>
  <si>
    <t>j-rev-4-4</t>
  </si>
  <si>
    <t>rev-4-4</t>
  </si>
  <si>
    <t>j-rev-4-3a</t>
  </si>
  <si>
    <t>dan-12-7b</t>
  </si>
  <si>
    <t>j-rev-14-7a</t>
  </si>
  <si>
    <t>rev-14-7a</t>
  </si>
  <si>
    <t>j-rev-14-6a</t>
  </si>
  <si>
    <t>rev-14-6a</t>
  </si>
  <si>
    <t>rev-14-4</t>
  </si>
  <si>
    <t>rev-14-3</t>
  </si>
  <si>
    <t>rev-14-2</t>
  </si>
  <si>
    <t>j-rev-14-1</t>
  </si>
  <si>
    <t>rev-14-1</t>
  </si>
  <si>
    <t>j-rev-10-5</t>
  </si>
  <si>
    <t>rev-10-5</t>
  </si>
  <si>
    <t>j-rev-10-3</t>
  </si>
  <si>
    <t>rev-10-3</t>
  </si>
  <si>
    <t>rev-10-2</t>
  </si>
  <si>
    <t>rev-10-1</t>
  </si>
  <si>
    <t>rev-8-6</t>
  </si>
  <si>
    <t>j-rev-8-5b</t>
  </si>
  <si>
    <t>rev-8-5b</t>
  </si>
  <si>
    <t>rev-8-5a</t>
  </si>
  <si>
    <t>j-rev-8-3b</t>
  </si>
  <si>
    <t>rev-8-3b</t>
  </si>
  <si>
    <t>rev-8-3a</t>
  </si>
  <si>
    <t>j-rev-8-1</t>
  </si>
  <si>
    <t>rev-8-1</t>
  </si>
  <si>
    <t>j-rev-7-9</t>
  </si>
  <si>
    <t>rev-7-9</t>
  </si>
  <si>
    <t>j-rev-7-4</t>
  </si>
  <si>
    <t>rev-7-4</t>
  </si>
  <si>
    <t>rev-7-2</t>
  </si>
  <si>
    <t>j-rev-7-2a</t>
  </si>
  <si>
    <t>j-rev-5-9c</t>
  </si>
  <si>
    <t>rev-5-9c</t>
  </si>
  <si>
    <t>rev-5-9b</t>
  </si>
  <si>
    <t>rev-5-9a</t>
  </si>
  <si>
    <t>rev-5-8</t>
  </si>
  <si>
    <t>rev-5-7</t>
  </si>
  <si>
    <t>rev-5-6</t>
  </si>
  <si>
    <t>j-rev-5-5</t>
  </si>
  <si>
    <t>rev-5-5</t>
  </si>
  <si>
    <t>enoch-80-2b</t>
  </si>
  <si>
    <t>enoch-80-2a</t>
  </si>
  <si>
    <t>j-enoch-80-2a</t>
  </si>
  <si>
    <t>j-es2-5-3</t>
  </si>
  <si>
    <t>es2-5-3</t>
  </si>
  <si>
    <t>j-es2-5-2a</t>
  </si>
  <si>
    <t>j-es2-15-13a</t>
  </si>
  <si>
    <t>es2-15-13a</t>
  </si>
  <si>
    <t>j-rev-13-5b</t>
  </si>
  <si>
    <t>rev-13-5b</t>
  </si>
  <si>
    <t>rev-11-6a</t>
  </si>
  <si>
    <t>rev-11-4</t>
  </si>
  <si>
    <t>rev-11-3</t>
  </si>
  <si>
    <t>rev-11-2b</t>
  </si>
  <si>
    <t>j-dan-12-7ba</t>
  </si>
  <si>
    <t>j-rev-14-7b</t>
  </si>
  <si>
    <t>rev-14-7b</t>
  </si>
  <si>
    <t>j-rev-14-7aa</t>
  </si>
  <si>
    <t>j-rev-10-6b</t>
  </si>
  <si>
    <t>rev-10-6b</t>
  </si>
  <si>
    <t>rev-10-6a</t>
  </si>
  <si>
    <t>j-rev-10-5aa</t>
  </si>
  <si>
    <t>j-rev-8-7</t>
  </si>
  <si>
    <t>rev-8-7</t>
  </si>
  <si>
    <t>j-rev-8-6a</t>
  </si>
  <si>
    <t>j-rev-12-6</t>
  </si>
  <si>
    <t>rev-12-6</t>
  </si>
  <si>
    <t>j-rev-12-5aa</t>
  </si>
  <si>
    <t>j-enoch-80-3</t>
  </si>
  <si>
    <t>enoch-80-3</t>
  </si>
  <si>
    <t>j-enoch-80-2b</t>
  </si>
  <si>
    <t>es2-16-12b</t>
  </si>
  <si>
    <t>j-ascisa-4-1</t>
  </si>
  <si>
    <t>ascisa-4-1</t>
  </si>
  <si>
    <t>j-ba2-30-3</t>
  </si>
  <si>
    <t>ba2-30-3</t>
  </si>
  <si>
    <t>j-ba2-30-2ca</t>
  </si>
  <si>
    <t>j-rev-11-6c</t>
  </si>
  <si>
    <t>rev-11-6c</t>
  </si>
  <si>
    <t>rev-11-6b</t>
  </si>
  <si>
    <t>gad-2-26b</t>
  </si>
  <si>
    <t>gad-2-26a</t>
  </si>
  <si>
    <t>j-gad-2-26a</t>
  </si>
  <si>
    <t>j-rev-14-7c</t>
  </si>
  <si>
    <t>rev-14-7c</t>
  </si>
  <si>
    <t>j-rev-10-6c</t>
  </si>
  <si>
    <t>rev-10-6c</t>
  </si>
  <si>
    <t>j-rev-8-8</t>
  </si>
  <si>
    <t>rev-8-8</t>
  </si>
  <si>
    <t>tj-rev-12-5b-d</t>
  </si>
  <si>
    <t>tj-rev-5-9c-u</t>
  </si>
  <si>
    <t>tj-rev-12-6-up</t>
  </si>
  <si>
    <t>tj-es2-15-8b-up</t>
  </si>
  <si>
    <t>tj-es2-5-2</t>
  </si>
  <si>
    <t>tj-rev-11-1-up</t>
  </si>
  <si>
    <t>tj-rev-7-9-u</t>
  </si>
  <si>
    <t>tj-ba2-30-2c-up</t>
  </si>
  <si>
    <t>tj-rev-18-1-u</t>
  </si>
  <si>
    <t>tj-rev-18-1-up</t>
  </si>
  <si>
    <t>tj-es2-15-13a-u</t>
  </si>
  <si>
    <t>tj-es2-5-3-u</t>
  </si>
  <si>
    <t>tj-rev-5-4</t>
  </si>
  <si>
    <t>tj-rev-5-4-u</t>
  </si>
  <si>
    <t>rev-5-1</t>
  </si>
  <si>
    <t>j-rev-5-4</t>
  </si>
  <si>
    <t>j-rev-6-7</t>
  </si>
  <si>
    <t>j-job-5-19</t>
  </si>
  <si>
    <t>j-job-5-20-e</t>
  </si>
  <si>
    <t>j-es2-15-5</t>
  </si>
  <si>
    <t>j-es2-15-4</t>
  </si>
  <si>
    <t>es2-15-2</t>
  </si>
  <si>
    <t>es2-15-3</t>
  </si>
  <si>
    <t>tj-es2-15-2</t>
  </si>
  <si>
    <t>tj-es2-15-2-u</t>
  </si>
  <si>
    <t>tj-es2-15-2-up</t>
  </si>
  <si>
    <t>j-es2-15-2-s</t>
  </si>
  <si>
    <t>j-dan-12-7a</t>
  </si>
  <si>
    <t>dan-12-6</t>
  </si>
  <si>
    <t>j-dan-12-7bb</t>
  </si>
  <si>
    <t>tj-dan-12-7a</t>
  </si>
  <si>
    <t>j-dan-12-7bc</t>
  </si>
  <si>
    <t>j-dan-12-9</t>
  </si>
  <si>
    <t>dan-12-8</t>
  </si>
  <si>
    <t>dan-12-3</t>
  </si>
  <si>
    <t>j-dan-12-3</t>
  </si>
  <si>
    <t>j-dan-12-1ca</t>
  </si>
  <si>
    <t>dan-12-1c</t>
  </si>
  <si>
    <t>dan-12-2</t>
  </si>
  <si>
    <t>j-dan-12-2</t>
  </si>
  <si>
    <t>tj-dan-12-2</t>
  </si>
  <si>
    <t>dan-12-1</t>
  </si>
  <si>
    <t>tj-dan-12-1</t>
  </si>
  <si>
    <t>tj-dan-12-1b</t>
  </si>
  <si>
    <t>tj-dan-12-1b-u</t>
  </si>
  <si>
    <t>tj-dan-12-1b-up</t>
  </si>
  <si>
    <t>dan-12-1b</t>
  </si>
  <si>
    <t>dan-11-1</t>
  </si>
  <si>
    <t>dan-11-2a</t>
  </si>
  <si>
    <t>j-dan-11-2a</t>
  </si>
  <si>
    <t>tj-dan-11-2a</t>
  </si>
  <si>
    <t>tj-dan-11-2a-u</t>
  </si>
  <si>
    <t>tj-dan-11-2a-up</t>
  </si>
  <si>
    <t>tj-rev-10-6c-u</t>
  </si>
  <si>
    <t>tj-rev-11-6c-u</t>
  </si>
  <si>
    <t>tj-rev-5-4-up</t>
  </si>
  <si>
    <t>tj-zec-1-7-s</t>
  </si>
  <si>
    <t>tj-zec-1-7-e</t>
  </si>
  <si>
    <t>zec-1-7</t>
  </si>
  <si>
    <t>dan-8-1</t>
  </si>
  <si>
    <t>dan-8-3</t>
  </si>
  <si>
    <t>dan-8-5</t>
  </si>
  <si>
    <t>dan-8-6</t>
  </si>
  <si>
    <t>dan-8-7</t>
  </si>
  <si>
    <t>j-dan-8-19b</t>
  </si>
  <si>
    <t>dan-8-20</t>
  </si>
  <si>
    <t>dan-8-21</t>
  </si>
  <si>
    <t>j-dan-8-21</t>
  </si>
  <si>
    <t>j-dan-11-2ba</t>
  </si>
  <si>
    <t>dan-11-2b</t>
  </si>
  <si>
    <t>j-dan-11-2bb</t>
  </si>
  <si>
    <t>dan-11-3</t>
  </si>
  <si>
    <t>dan-8-8a</t>
  </si>
  <si>
    <t>dan-8-8b</t>
  </si>
  <si>
    <t>j-dan-8-8b</t>
  </si>
  <si>
    <t>dan-8-22a</t>
  </si>
  <si>
    <t>dan-8-22b</t>
  </si>
  <si>
    <t>dan-8-23a</t>
  </si>
  <si>
    <t>dan-11-4a</t>
  </si>
  <si>
    <t>dan-11-4b</t>
  </si>
  <si>
    <t>j-dan-11-4b</t>
  </si>
  <si>
    <t>tj-deu-32-20-s</t>
  </si>
  <si>
    <t>tj-deu-32-20</t>
  </si>
  <si>
    <t>deu-32-20</t>
  </si>
  <si>
    <t>j-deu-32-20</t>
  </si>
  <si>
    <t>j-deu-32-20b</t>
  </si>
  <si>
    <t>deu-32-21</t>
  </si>
  <si>
    <t>j-deu-32-21</t>
  </si>
  <si>
    <t>tj-deu-32-21</t>
  </si>
  <si>
    <t>tj-deu-32-21-u</t>
  </si>
  <si>
    <t>tj-deu-32-21-up</t>
  </si>
  <si>
    <t>j-deu-32-21b</t>
  </si>
  <si>
    <t>deu-32-22</t>
  </si>
  <si>
    <t>deu-32-23</t>
  </si>
  <si>
    <t>tj-deu-32-23-e</t>
  </si>
  <si>
    <t>tj-es2-15-11a-up</t>
  </si>
  <si>
    <t>es2-16-13</t>
  </si>
  <si>
    <t>tj-es2-16-13</t>
  </si>
  <si>
    <t>j-es2-16-13b</t>
  </si>
  <si>
    <t>es2-16-14</t>
  </si>
  <si>
    <t>es2-16-15</t>
  </si>
  <si>
    <t>es2-16-16a</t>
  </si>
  <si>
    <t>j-es2-16-12ba</t>
  </si>
  <si>
    <t>es2-16-16b</t>
  </si>
  <si>
    <t>j-es2-16-12bb</t>
  </si>
  <si>
    <t>tj-es2-16-16b</t>
  </si>
  <si>
    <t>tj-es2-16-16a</t>
  </si>
  <si>
    <t>tj-rev-12-5b-up</t>
  </si>
  <si>
    <t>m-tab-vial-7</t>
  </si>
  <si>
    <t>rev-21-10b</t>
  </si>
  <si>
    <t>rev-21-11</t>
  </si>
  <si>
    <t>rev-21-12</t>
  </si>
  <si>
    <t>j-rev-21-17-e</t>
  </si>
  <si>
    <t>j-song-2-13b</t>
  </si>
  <si>
    <t>j-rev-7-1</t>
  </si>
  <si>
    <t>j-es2-5-1</t>
  </si>
  <si>
    <t>j-es2-5-2</t>
  </si>
  <si>
    <t>j-es2-2-36</t>
  </si>
  <si>
    <t>j-1thess-4-16b</t>
  </si>
  <si>
    <t>dan-12-4</t>
  </si>
  <si>
    <t>j-dan-12-4</t>
  </si>
  <si>
    <t>dan-12-5</t>
  </si>
  <si>
    <t>tj-es2-5-1</t>
  </si>
  <si>
    <t>tj-ascisa-4-1</t>
  </si>
  <si>
    <t>j-gad-2-26ab</t>
  </si>
  <si>
    <t>j-ba2-48-31a-s</t>
  </si>
  <si>
    <t>ba2-48-31a</t>
  </si>
  <si>
    <t>j-ba2-48-31a</t>
  </si>
  <si>
    <t>j-ba2-70-2a-s</t>
  </si>
  <si>
    <t>ba2-70-2a</t>
  </si>
  <si>
    <t>j-ba2-70-2a</t>
  </si>
  <si>
    <t>tj-ba2-48-31a</t>
  </si>
  <si>
    <t>tj-ba2-70-2a</t>
  </si>
  <si>
    <t>tj-rev-12-9</t>
  </si>
  <si>
    <t>tj-rev-12-9-u</t>
  </si>
  <si>
    <t>rev-12-7</t>
  </si>
  <si>
    <t>rev-12-9</t>
  </si>
  <si>
    <t>j-rev-12-9</t>
  </si>
  <si>
    <t>isa-21-8</t>
  </si>
  <si>
    <t>isa-21-9a</t>
  </si>
  <si>
    <t>j-isa-21-9a</t>
  </si>
  <si>
    <t>isa-21-9b</t>
  </si>
  <si>
    <t>j-isa-21-9b</t>
  </si>
  <si>
    <t>isa-21-10</t>
  </si>
  <si>
    <t>tj-isa-21-10</t>
  </si>
  <si>
    <t>j-gad-2-26b</t>
  </si>
  <si>
    <t>j-gad-2-26c</t>
  </si>
  <si>
    <t>gad-2-26c</t>
  </si>
  <si>
    <t>j-gad-2-26c-e</t>
  </si>
  <si>
    <t>j-rev-12-7</t>
  </si>
  <si>
    <t>j-rev-12-7-s</t>
  </si>
  <si>
    <t>j-isa-21-8-s</t>
  </si>
  <si>
    <t>j-rev-8-10-s</t>
  </si>
  <si>
    <t>rev-8-10</t>
  </si>
  <si>
    <t>rev-8-11</t>
  </si>
  <si>
    <t>j-rev-8-11</t>
  </si>
  <si>
    <t>tj-rev-8-11</t>
  </si>
  <si>
    <t>tj-rev-14-8b</t>
  </si>
  <si>
    <t>tj-dan-12-9-u</t>
  </si>
  <si>
    <t>j-rev-14-7d-s</t>
  </si>
  <si>
    <t>rev-14-7d</t>
  </si>
  <si>
    <t>rev-14-8a</t>
  </si>
  <si>
    <t>rev-14-8b</t>
  </si>
  <si>
    <t>j-rev-14-8b</t>
  </si>
  <si>
    <t>j-rev-14-7d</t>
  </si>
  <si>
    <t>tj-enoch-80-3-u</t>
  </si>
  <si>
    <t>tj-enoch-80-3-up</t>
  </si>
  <si>
    <t>tj-dan-12-9-up</t>
  </si>
  <si>
    <t>tj-ba2-30-3-u</t>
  </si>
  <si>
    <t>tj-ba2-30-3-up</t>
  </si>
  <si>
    <t>tj-ascisa-4-4</t>
  </si>
  <si>
    <t>j-ascisa-4-2-s</t>
  </si>
  <si>
    <t>ascisa-4-2</t>
  </si>
  <si>
    <t>ascisa-4-3</t>
  </si>
  <si>
    <t>ascisa-4-4</t>
  </si>
  <si>
    <t>j-ascisa-4-4</t>
  </si>
  <si>
    <t>j-rev-18-3</t>
  </si>
  <si>
    <t>rev-18-3</t>
  </si>
  <si>
    <t>rev-18-2</t>
  </si>
  <si>
    <t>j-rev-18-2-s</t>
  </si>
  <si>
    <t>tj-rev-18-3</t>
  </si>
  <si>
    <t>tj-es2-5-3-up</t>
  </si>
  <si>
    <t>tj-es2-15-13a-up</t>
  </si>
  <si>
    <t>j-ba2-48-31b-s</t>
  </si>
  <si>
    <t>ba2-48-31b</t>
  </si>
  <si>
    <t>j-ba2-48-31b</t>
  </si>
  <si>
    <t>tj-es2-16-16b-up</t>
  </si>
  <si>
    <t>tj-ba2-70-2b</t>
  </si>
  <si>
    <t>ba2-70-2b</t>
  </si>
  <si>
    <t>tj-ba2-48-31b</t>
  </si>
  <si>
    <t>j-ba2-70-2b-s</t>
  </si>
  <si>
    <t>j-isa-21-11-s</t>
  </si>
  <si>
    <t>isa-21-11</t>
  </si>
  <si>
    <t>j-isa-21-12</t>
  </si>
  <si>
    <t>j-rev-8-12-s</t>
  </si>
  <si>
    <t>rev-8-12</t>
  </si>
  <si>
    <t>j-rev-8-12</t>
  </si>
  <si>
    <t>rev-8-13a</t>
  </si>
  <si>
    <t>rev-8-13b</t>
  </si>
  <si>
    <t>mark-13-8a</t>
  </si>
  <si>
    <t>mark-13-8b</t>
  </si>
  <si>
    <t>tj-mark-13-8a</t>
  </si>
  <si>
    <t>j-mrk-13-8a-s</t>
  </si>
  <si>
    <t>j-rev-14-9-s</t>
  </si>
  <si>
    <t>rev-14-9</t>
  </si>
  <si>
    <t>j-rev-14-9</t>
  </si>
  <si>
    <t>rev-14-10</t>
  </si>
  <si>
    <t>j-rev-14-10</t>
  </si>
  <si>
    <t>tj-dan-12-9</t>
  </si>
  <si>
    <t>tj-rev-14-10</t>
  </si>
  <si>
    <t>j-enoch-74-4-s</t>
  </si>
  <si>
    <t>enoch-74-4</t>
  </si>
  <si>
    <t>j-enoch-74-4</t>
  </si>
  <si>
    <t>enoch-74-5</t>
  </si>
  <si>
    <t>j-enoch-74-5</t>
  </si>
  <si>
    <t>j-enoch-76-8-s</t>
  </si>
  <si>
    <t>enoch-76-8</t>
  </si>
  <si>
    <t>j-enoch-76-8</t>
  </si>
  <si>
    <t>j-luke-21-10-s</t>
  </si>
  <si>
    <t>luke-21-10</t>
  </si>
  <si>
    <t>luke-21-11a</t>
  </si>
  <si>
    <t>tj-luke-21-11a</t>
  </si>
  <si>
    <t>tj-enoch-76-8</t>
  </si>
  <si>
    <t>j-enoch-80-4-s</t>
  </si>
  <si>
    <t>enoch-80-4</t>
  </si>
  <si>
    <t>enoch-80-6</t>
  </si>
  <si>
    <t>j-enoch-80-6</t>
  </si>
  <si>
    <t>enoch-80-7</t>
  </si>
  <si>
    <t>enoch-80-8</t>
  </si>
  <si>
    <t>j-hab-3-2a-s</t>
  </si>
  <si>
    <t>hab-3-2a</t>
  </si>
  <si>
    <t>j-hab-3-2a</t>
  </si>
  <si>
    <t>hab-3-2b</t>
  </si>
  <si>
    <t>j-hab-3-2b</t>
  </si>
  <si>
    <t>tj-hab-3-2b</t>
  </si>
  <si>
    <t>j-ba2-30-4-s</t>
  </si>
  <si>
    <t>ba2-30-4</t>
  </si>
  <si>
    <t>ba2-30-5</t>
  </si>
  <si>
    <t>mat-24-7a</t>
  </si>
  <si>
    <t>mat-24-7b</t>
  </si>
  <si>
    <t>tj-mat-24-7b</t>
  </si>
  <si>
    <t>tj-ascisa-4-5</t>
  </si>
  <si>
    <t>tj-ascisa-4-5-u</t>
  </si>
  <si>
    <t>tj-ascisa-4-5-up</t>
  </si>
  <si>
    <t>j-ascisa-4-5-s</t>
  </si>
  <si>
    <t>ascisa-4-5</t>
  </si>
  <si>
    <t>j-ascisa-4-5</t>
  </si>
  <si>
    <t>j-rev-18-4-s</t>
  </si>
  <si>
    <t>rev-18-4</t>
  </si>
  <si>
    <t>rev-18-5</t>
  </si>
  <si>
    <t>rev-18-6</t>
  </si>
  <si>
    <t>rev-18-7</t>
  </si>
  <si>
    <t>rev-18-8</t>
  </si>
  <si>
    <t>tj-rev-18-8</t>
  </si>
  <si>
    <t>tj-es2-15-16</t>
  </si>
  <si>
    <t>j-es2-15-13b-s</t>
  </si>
  <si>
    <t>es2-15-13b</t>
  </si>
  <si>
    <t>j-es2-15-13b</t>
  </si>
  <si>
    <t>es2-15-14</t>
  </si>
  <si>
    <t>es2-15-16</t>
  </si>
  <si>
    <t>j-es2-5-5</t>
  </si>
  <si>
    <t>j-es2-5-4-s</t>
  </si>
  <si>
    <t>es2-5-4</t>
  </si>
  <si>
    <t>j-es2-5-4</t>
  </si>
  <si>
    <t>es2-5-5</t>
  </si>
  <si>
    <t>ba2-48-32</t>
  </si>
  <si>
    <t>j-ba2-48-32-s</t>
  </si>
  <si>
    <t>tj-ba2-48-32</t>
  </si>
  <si>
    <t>j-mat-24-7a-s</t>
  </si>
  <si>
    <t>tj-es2-5-5</t>
  </si>
  <si>
    <t>tj-rev-12-9-up</t>
  </si>
  <si>
    <t>tj-rev-7-9-up</t>
  </si>
  <si>
    <t>tj-rev-13-5b-u</t>
  </si>
  <si>
    <t>tj-rev-5-9c-u2</t>
  </si>
  <si>
    <t>tj-rev-5-9c-up</t>
  </si>
  <si>
    <t>tj-rev-10-6c-u2</t>
  </si>
  <si>
    <t>tj-rev-10-6c-up</t>
  </si>
  <si>
    <t>tj-rev-11-6c-u2</t>
  </si>
  <si>
    <t>tj-rev-11-6c-up</t>
  </si>
  <si>
    <t>es2-16-18</t>
  </si>
  <si>
    <t>j-es2-16-17</t>
  </si>
  <si>
    <t>es2-16-17</t>
  </si>
  <si>
    <t>j-es2-16-17-s</t>
  </si>
  <si>
    <t>tj-es2-16-18</t>
  </si>
  <si>
    <t>tj-ba2-70-3</t>
  </si>
  <si>
    <t>ba2-70-3</t>
  </si>
  <si>
    <t>j-dan-8-7</t>
  </si>
  <si>
    <t>j-dan-11-3</t>
  </si>
  <si>
    <t>tj-dan-8-7</t>
  </si>
  <si>
    <t>tj-dan-8-21</t>
  </si>
  <si>
    <t>tj-dan-11-3</t>
  </si>
  <si>
    <t>tj-dan-8-7-u</t>
  </si>
  <si>
    <t>tj-dan-8-21-u</t>
  </si>
  <si>
    <t>tj-dan-11-3-u</t>
  </si>
  <si>
    <t>tj-dan-8-7-up</t>
  </si>
  <si>
    <t>tj-dan-8-21-up</t>
  </si>
  <si>
    <t>tj-dan-11-3-up</t>
  </si>
  <si>
    <t>j-dan-8-8a-s</t>
  </si>
  <si>
    <t>j-dan-8-22a-s</t>
  </si>
  <si>
    <t>j-dan-11-4a-s</t>
  </si>
  <si>
    <t>j-dan-8-22b</t>
  </si>
  <si>
    <t>tj-dan-8-22b</t>
  </si>
  <si>
    <t>es2-15-15a</t>
  </si>
  <si>
    <t>es2-15-15b</t>
  </si>
  <si>
    <t>seal1-date</t>
  </si>
  <si>
    <t>year1-date</t>
  </si>
  <si>
    <t>seal1-dot</t>
  </si>
  <si>
    <t>year1-dot</t>
  </si>
  <si>
    <t>line1-end</t>
  </si>
  <si>
    <t>line2-end</t>
  </si>
  <si>
    <t>seal1</t>
  </si>
  <si>
    <t>year1</t>
  </si>
  <si>
    <t>seal2</t>
  </si>
  <si>
    <t>seal2-dot</t>
  </si>
  <si>
    <t>seal2-date</t>
  </si>
  <si>
    <t>year2-dot</t>
  </si>
  <si>
    <t>year2</t>
  </si>
  <si>
    <t>year2-date</t>
  </si>
  <si>
    <t>seal3</t>
  </si>
  <si>
    <t>seal3-date</t>
  </si>
  <si>
    <t>seal3-dot</t>
  </si>
  <si>
    <t>seal4-date</t>
  </si>
  <si>
    <t>seal4-dot</t>
  </si>
  <si>
    <t>year3-dot</t>
  </si>
  <si>
    <t>year3-date</t>
  </si>
  <si>
    <t>year3</t>
  </si>
  <si>
    <t>seal4</t>
  </si>
  <si>
    <t>seal5-date</t>
  </si>
  <si>
    <t>seal5-dot</t>
  </si>
  <si>
    <t>seal5</t>
  </si>
  <si>
    <t>seal6-date</t>
  </si>
  <si>
    <t>seal6-dot</t>
  </si>
  <si>
    <t>seal6</t>
  </si>
  <si>
    <t>year4-date</t>
  </si>
  <si>
    <t>year4-dot</t>
  </si>
  <si>
    <t>year4</t>
  </si>
  <si>
    <t>rapture</t>
  </si>
  <si>
    <t>seal7-date</t>
  </si>
  <si>
    <t>seal7-dot</t>
  </si>
  <si>
    <t>seal7</t>
  </si>
  <si>
    <t>year5-dot</t>
  </si>
  <si>
    <t>year5-date</t>
  </si>
  <si>
    <t>year5</t>
  </si>
  <si>
    <t>trumpet1-date</t>
  </si>
  <si>
    <t>trumpet1-dot</t>
  </si>
  <si>
    <t>trumpet1</t>
  </si>
  <si>
    <t>trumpet2-date</t>
  </si>
  <si>
    <t>trumpet2</t>
  </si>
  <si>
    <t>trumpet2-dot</t>
  </si>
  <si>
    <t>year6-dot</t>
  </si>
  <si>
    <t>year6-date</t>
  </si>
  <si>
    <t>year6</t>
  </si>
  <si>
    <t>trumpet3-date</t>
  </si>
  <si>
    <t>trumpet3-dot</t>
  </si>
  <si>
    <t>trumpet3</t>
  </si>
  <si>
    <t>trumpet4-date</t>
  </si>
  <si>
    <t>trumpet4-dot</t>
  </si>
  <si>
    <t>trumpet4</t>
  </si>
  <si>
    <t>year7-date</t>
  </si>
  <si>
    <t>year7-dot</t>
  </si>
  <si>
    <t>year7</t>
  </si>
  <si>
    <t>trumpet5-date</t>
  </si>
  <si>
    <t>trumpet5-dot</t>
  </si>
  <si>
    <t>trumpet5</t>
  </si>
  <si>
    <t>year8-date</t>
  </si>
  <si>
    <t>year8-dot</t>
  </si>
  <si>
    <t>trumpet6-date</t>
  </si>
  <si>
    <t>trumpet6</t>
  </si>
  <si>
    <t>trumpet6-dot</t>
  </si>
  <si>
    <t>ascension</t>
  </si>
  <si>
    <t>trumpet7-date</t>
  </si>
  <si>
    <t>trumpet7</t>
  </si>
  <si>
    <t>trumpet7-dot</t>
  </si>
  <si>
    <t>year8</t>
  </si>
  <si>
    <t>year9-date</t>
  </si>
  <si>
    <t>year9-dot</t>
  </si>
  <si>
    <t>vial1-date</t>
  </si>
  <si>
    <t>vial1-dot</t>
  </si>
  <si>
    <t>vial1</t>
  </si>
  <si>
    <t>vial2-date</t>
  </si>
  <si>
    <t>vial2-dot</t>
  </si>
  <si>
    <t>year10-dot</t>
  </si>
  <si>
    <t>year10-date</t>
  </si>
  <si>
    <t>year10</t>
  </si>
  <si>
    <t>vial3-date</t>
  </si>
  <si>
    <t>vial2</t>
  </si>
  <si>
    <t>vial3</t>
  </si>
  <si>
    <t>vial3-dot</t>
  </si>
  <si>
    <t>vial4-date</t>
  </si>
  <si>
    <t>vial4</t>
  </si>
  <si>
    <t>vial4-dot</t>
  </si>
  <si>
    <t>year11-date</t>
  </si>
  <si>
    <t>year11-dot</t>
  </si>
  <si>
    <t>year11</t>
  </si>
  <si>
    <t>vial5-date</t>
  </si>
  <si>
    <t>vial5</t>
  </si>
  <si>
    <t>vial5-dot</t>
  </si>
  <si>
    <t>vial6-date</t>
  </si>
  <si>
    <t>vial6</t>
  </si>
  <si>
    <t>vial6-dot</t>
  </si>
  <si>
    <t>year12-date</t>
  </si>
  <si>
    <t>year12</t>
  </si>
  <si>
    <t>year12-dot</t>
  </si>
  <si>
    <t>day-of-Yah</t>
  </si>
  <si>
    <t>vial7-date</t>
  </si>
  <si>
    <t>vial7</t>
  </si>
  <si>
    <t>vial7-dot</t>
  </si>
  <si>
    <t>year13-date</t>
  </si>
  <si>
    <t>year13-dot</t>
  </si>
  <si>
    <t>year9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</si>
</sst>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 applyAlignment="1">
      <alignment horizontal="left"/>
    </xf>
    <xf numFmtId="14" fontId="0" fillId="0" borderId="0" xfId="0" applyNumberFormat="1"/>
  </cellXfs>
  <cellStyles count="1">
    <cellStyle name="Normal" xfId="0" builtinId="0"/>
  </cellStyles>
  <dxfs count="2"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B99A4-5CFD-41D9-9F1B-8EDFED8ECB9E}">
  <dimension ref="A1:I55"/>
  <sheetViews>
    <sheetView tabSelected="1" topLeftCell="A31" zoomScale="115" zoomScaleNormal="115" workbookViewId="0">
      <pane xSplit="1" topLeftCell="B1" activePane="topRight" state="frozen"/>
      <selection pane="topRight" activeCell="A4" sqref="A4:A55"/>
    </sheetView>
  </sheetViews>
  <sheetFormatPr defaultRowHeight="14.4" x14ac:dyDescent="0.3"/>
  <cols>
    <col min="3" max="3" width="13.109375" bestFit="1" customWidth="1"/>
    <col min="4" max="4" width="11.44140625" bestFit="1" customWidth="1"/>
    <col min="5" max="5" width="12.88671875" bestFit="1" customWidth="1"/>
    <col min="6" max="6" width="11.44140625" bestFit="1" customWidth="1"/>
    <col min="8" max="8" width="11.77734375" customWidth="1"/>
    <col min="9" max="9" width="11" bestFit="1" customWidth="1"/>
  </cols>
  <sheetData>
    <row r="1" spans="1:9" x14ac:dyDescent="0.3">
      <c r="A1" t="s">
        <v>132</v>
      </c>
      <c r="B1">
        <f>COUNTA(C6:XW6)</f>
        <v>5</v>
      </c>
    </row>
    <row r="2" spans="1:9" x14ac:dyDescent="0.3">
      <c r="A2" t="s">
        <v>131</v>
      </c>
      <c r="B2">
        <f>COUNTA(A6:A155)</f>
        <v>50</v>
      </c>
    </row>
    <row r="3" spans="1:9" x14ac:dyDescent="0.3">
      <c r="B3" t="s">
        <v>30</v>
      </c>
    </row>
    <row r="4" spans="1:9" x14ac:dyDescent="0.3">
      <c r="A4" t="str">
        <f>_xlfn.CONCAT(CHAR(34), _xlfn.TEXTJOIN(" ",TRUE,C4:F4),CHAR(34))</f>
        <v>"seal1-date seal1-dot year1-dot year1-date"</v>
      </c>
      <c r="B4" t="s">
        <v>30</v>
      </c>
      <c r="C4" t="s">
        <v>661</v>
      </c>
      <c r="D4" t="s">
        <v>663</v>
      </c>
      <c r="E4" t="s">
        <v>664</v>
      </c>
      <c r="F4" t="s">
        <v>662</v>
      </c>
      <c r="H4" s="1">
        <v>45392</v>
      </c>
      <c r="I4" s="1">
        <v>45392</v>
      </c>
    </row>
    <row r="5" spans="1:9" x14ac:dyDescent="0.3">
      <c r="A5" t="str">
        <f t="shared" ref="A5:A55" si="0">_xlfn.CONCAT(CHAR(34), _xlfn.TEXTJOIN(" ",TRUE,C5:F5),CHAR(34))</f>
        <v>"seal1 . . year1"</v>
      </c>
      <c r="B5" t="s">
        <v>30</v>
      </c>
      <c r="C5" t="s">
        <v>667</v>
      </c>
      <c r="D5" t="s">
        <v>1</v>
      </c>
      <c r="E5" t="s">
        <v>1</v>
      </c>
      <c r="F5" t="s">
        <v>668</v>
      </c>
    </row>
    <row r="6" spans="1:9" x14ac:dyDescent="0.3">
      <c r="A6" t="str">
        <f>_xlfn.CONCAT(CHAR(34), _xlfn.TEXTJOIN(" ",TRUE,C6:F6),CHAR(34))</f>
        <v>"seal2-date seal2-dot . year1"</v>
      </c>
      <c r="B6" t="s">
        <v>30</v>
      </c>
      <c r="C6" t="s">
        <v>671</v>
      </c>
      <c r="D6" t="s">
        <v>670</v>
      </c>
      <c r="E6" t="s">
        <v>1</v>
      </c>
      <c r="F6" t="s">
        <v>668</v>
      </c>
      <c r="H6" s="2">
        <f>H4+210</f>
        <v>45602</v>
      </c>
    </row>
    <row r="7" spans="1:9" x14ac:dyDescent="0.3">
      <c r="A7" t="str">
        <f>_xlfn.CONCAT(CHAR(34), _xlfn.TEXTJOIN(" ",TRUE,C7:F7),CHAR(34))</f>
        <v>"seal2 . year2-dot year2-date"</v>
      </c>
      <c r="B7" t="s">
        <v>30</v>
      </c>
      <c r="C7" t="s">
        <v>669</v>
      </c>
      <c r="D7" t="s">
        <v>1</v>
      </c>
      <c r="E7" t="s">
        <v>672</v>
      </c>
      <c r="F7" t="s">
        <v>674</v>
      </c>
      <c r="I7" s="2">
        <f>I4+360</f>
        <v>45752</v>
      </c>
    </row>
    <row r="8" spans="1:9" x14ac:dyDescent="0.3">
      <c r="A8" t="str">
        <f>_xlfn.CONCAT(CHAR(34), _xlfn.TEXTJOIN(" ",TRUE,C8:F8),CHAR(34))</f>
        <v>"seal2 . . year2"</v>
      </c>
      <c r="B8" t="s">
        <v>30</v>
      </c>
      <c r="C8" t="s">
        <v>669</v>
      </c>
      <c r="D8" t="s">
        <v>1</v>
      </c>
      <c r="E8" t="s">
        <v>1</v>
      </c>
      <c r="F8" t="s">
        <v>673</v>
      </c>
      <c r="I8" s="2"/>
    </row>
    <row r="9" spans="1:9" x14ac:dyDescent="0.3">
      <c r="A9" t="str">
        <f t="shared" si="0"/>
        <v>"seal3-date seal3-dot . year2"</v>
      </c>
      <c r="B9" t="s">
        <v>30</v>
      </c>
      <c r="C9" t="s">
        <v>676</v>
      </c>
      <c r="D9" t="s">
        <v>677</v>
      </c>
      <c r="E9" t="s">
        <v>1</v>
      </c>
      <c r="F9" t="s">
        <v>673</v>
      </c>
      <c r="H9" s="2">
        <f>H6+210</f>
        <v>45812</v>
      </c>
    </row>
    <row r="10" spans="1:9" x14ac:dyDescent="0.3">
      <c r="A10" t="str">
        <f t="shared" si="0"/>
        <v>"seal3 . . year2"</v>
      </c>
      <c r="B10" t="s">
        <v>30</v>
      </c>
      <c r="C10" t="s">
        <v>675</v>
      </c>
      <c r="D10" t="s">
        <v>1</v>
      </c>
      <c r="E10" t="s">
        <v>1</v>
      </c>
      <c r="F10" t="s">
        <v>673</v>
      </c>
    </row>
    <row r="11" spans="1:9" x14ac:dyDescent="0.3">
      <c r="A11" t="str">
        <f t="shared" si="0"/>
        <v>"seal4-date seal4-dot . year2"</v>
      </c>
      <c r="B11" t="s">
        <v>30</v>
      </c>
      <c r="C11" t="s">
        <v>678</v>
      </c>
      <c r="D11" t="s">
        <v>679</v>
      </c>
      <c r="E11" t="s">
        <v>1</v>
      </c>
      <c r="F11" t="s">
        <v>673</v>
      </c>
      <c r="H11" s="2">
        <f>H9+210</f>
        <v>46022</v>
      </c>
    </row>
    <row r="12" spans="1:9" x14ac:dyDescent="0.3">
      <c r="A12" t="str">
        <f t="shared" si="0"/>
        <v>"seal4 . year3-dot year3-date"</v>
      </c>
      <c r="B12" t="s">
        <v>30</v>
      </c>
      <c r="C12" t="s">
        <v>683</v>
      </c>
      <c r="D12" t="s">
        <v>1</v>
      </c>
      <c r="E12" t="s">
        <v>680</v>
      </c>
      <c r="F12" t="s">
        <v>681</v>
      </c>
      <c r="I12" s="2">
        <f>I7+360</f>
        <v>46112</v>
      </c>
    </row>
    <row r="13" spans="1:9" x14ac:dyDescent="0.3">
      <c r="A13" t="str">
        <f t="shared" si="0"/>
        <v>"seal4 . . year3"</v>
      </c>
      <c r="B13" t="s">
        <v>30</v>
      </c>
      <c r="C13" t="s">
        <v>683</v>
      </c>
      <c r="D13" t="s">
        <v>1</v>
      </c>
      <c r="E13" t="s">
        <v>1</v>
      </c>
      <c r="F13" t="s">
        <v>682</v>
      </c>
      <c r="I13" s="2"/>
    </row>
    <row r="14" spans="1:9" x14ac:dyDescent="0.3">
      <c r="A14" t="str">
        <f t="shared" si="0"/>
        <v>"seal5-date seal5-dot . year3"</v>
      </c>
      <c r="B14" t="s">
        <v>30</v>
      </c>
      <c r="C14" t="s">
        <v>684</v>
      </c>
      <c r="D14" t="s">
        <v>685</v>
      </c>
      <c r="E14" t="s">
        <v>1</v>
      </c>
      <c r="F14" t="s">
        <v>682</v>
      </c>
      <c r="H14" s="2">
        <f>H11+210</f>
        <v>46232</v>
      </c>
    </row>
    <row r="15" spans="1:9" x14ac:dyDescent="0.3">
      <c r="A15" t="str">
        <f t="shared" si="0"/>
        <v>"seal5 . . year3"</v>
      </c>
      <c r="B15" t="s">
        <v>30</v>
      </c>
      <c r="C15" t="s">
        <v>686</v>
      </c>
      <c r="D15" t="s">
        <v>1</v>
      </c>
      <c r="E15" t="s">
        <v>1</v>
      </c>
      <c r="F15" t="s">
        <v>682</v>
      </c>
    </row>
    <row r="16" spans="1:9" x14ac:dyDescent="0.3">
      <c r="A16" t="str">
        <f t="shared" si="0"/>
        <v>"seal6-date seal6-dot . year3"</v>
      </c>
      <c r="B16" t="s">
        <v>30</v>
      </c>
      <c r="C16" t="s">
        <v>687</v>
      </c>
      <c r="D16" t="s">
        <v>688</v>
      </c>
      <c r="E16" t="s">
        <v>1</v>
      </c>
      <c r="F16" t="s">
        <v>682</v>
      </c>
      <c r="H16" s="2">
        <f>H14+210</f>
        <v>46442</v>
      </c>
    </row>
    <row r="17" spans="1:9" x14ac:dyDescent="0.3">
      <c r="A17" t="str">
        <f t="shared" si="0"/>
        <v>"seal6 . year4-dot year4-date"</v>
      </c>
      <c r="B17" t="s">
        <v>30</v>
      </c>
      <c r="C17" t="s">
        <v>689</v>
      </c>
      <c r="D17" t="s">
        <v>1</v>
      </c>
      <c r="E17" t="s">
        <v>691</v>
      </c>
      <c r="F17" t="s">
        <v>690</v>
      </c>
      <c r="I17" s="2">
        <f>I12+360</f>
        <v>46472</v>
      </c>
    </row>
    <row r="18" spans="1:9" x14ac:dyDescent="0.3">
      <c r="A18" t="str">
        <f t="shared" si="0"/>
        <v>"seal6 . . year4"</v>
      </c>
      <c r="B18" t="s">
        <v>30</v>
      </c>
      <c r="C18" t="s">
        <v>689</v>
      </c>
      <c r="D18" t="s">
        <v>1</v>
      </c>
      <c r="E18" t="s">
        <v>1</v>
      </c>
      <c r="F18" t="s">
        <v>692</v>
      </c>
    </row>
    <row r="19" spans="1:9" x14ac:dyDescent="0.3">
      <c r="A19" t="str">
        <f t="shared" si="0"/>
        <v>"rapture . . year4"</v>
      </c>
      <c r="B19" t="s">
        <v>30</v>
      </c>
      <c r="C19" t="s">
        <v>693</v>
      </c>
      <c r="D19" t="s">
        <v>1</v>
      </c>
      <c r="E19" t="s">
        <v>1</v>
      </c>
      <c r="F19" t="s">
        <v>692</v>
      </c>
    </row>
    <row r="20" spans="1:9" x14ac:dyDescent="0.3">
      <c r="A20" t="str">
        <f t="shared" si="0"/>
        <v>"seal7-date seal7-dot . year4"</v>
      </c>
      <c r="B20" t="s">
        <v>30</v>
      </c>
      <c r="C20" t="s">
        <v>694</v>
      </c>
      <c r="D20" t="s">
        <v>695</v>
      </c>
      <c r="E20" t="s">
        <v>1</v>
      </c>
      <c r="F20" t="s">
        <v>692</v>
      </c>
      <c r="H20" s="2">
        <f>H16+210</f>
        <v>46652</v>
      </c>
    </row>
    <row r="21" spans="1:9" x14ac:dyDescent="0.3">
      <c r="A21" t="str">
        <f t="shared" si="0"/>
        <v>"seal7 . year5-dot year5-date"</v>
      </c>
      <c r="B21" t="s">
        <v>30</v>
      </c>
      <c r="C21" t="s">
        <v>696</v>
      </c>
      <c r="D21" t="s">
        <v>1</v>
      </c>
      <c r="E21" t="s">
        <v>697</v>
      </c>
      <c r="F21" t="s">
        <v>698</v>
      </c>
      <c r="I21" s="2">
        <f>I17+360</f>
        <v>46832</v>
      </c>
    </row>
    <row r="22" spans="1:9" x14ac:dyDescent="0.3">
      <c r="A22" t="str">
        <f t="shared" si="0"/>
        <v>"seal7 . . year5"</v>
      </c>
      <c r="B22" t="s">
        <v>30</v>
      </c>
      <c r="C22" t="s">
        <v>696</v>
      </c>
      <c r="D22" t="s">
        <v>1</v>
      </c>
      <c r="E22" t="s">
        <v>1</v>
      </c>
      <c r="F22" t="s">
        <v>699</v>
      </c>
    </row>
    <row r="23" spans="1:9" x14ac:dyDescent="0.3">
      <c r="A23" t="str">
        <f t="shared" si="0"/>
        <v>"trumpet1-date trumpet1-dot . year5"</v>
      </c>
      <c r="B23" t="s">
        <v>30</v>
      </c>
      <c r="C23" t="s">
        <v>700</v>
      </c>
      <c r="D23" t="s">
        <v>701</v>
      </c>
      <c r="E23" t="s">
        <v>1</v>
      </c>
      <c r="F23" t="s">
        <v>699</v>
      </c>
      <c r="H23" s="2">
        <f>H20+210</f>
        <v>46862</v>
      </c>
    </row>
    <row r="24" spans="1:9" x14ac:dyDescent="0.3">
      <c r="A24" t="str">
        <f t="shared" si="0"/>
        <v>"trumpet1 . . year5"</v>
      </c>
      <c r="B24" t="s">
        <v>30</v>
      </c>
      <c r="C24" t="s">
        <v>702</v>
      </c>
      <c r="D24" t="s">
        <v>1</v>
      </c>
      <c r="E24" t="s">
        <v>1</v>
      </c>
      <c r="F24" t="s">
        <v>699</v>
      </c>
    </row>
    <row r="25" spans="1:9" x14ac:dyDescent="0.3">
      <c r="A25" t="str">
        <f t="shared" si="0"/>
        <v>"trumpet2-date trumpet2-dot . year5"</v>
      </c>
      <c r="B25" t="s">
        <v>30</v>
      </c>
      <c r="C25" t="s">
        <v>703</v>
      </c>
      <c r="D25" t="s">
        <v>705</v>
      </c>
      <c r="E25" t="s">
        <v>1</v>
      </c>
      <c r="F25" t="s">
        <v>699</v>
      </c>
      <c r="H25" s="2">
        <f>H23+210</f>
        <v>47072</v>
      </c>
    </row>
    <row r="26" spans="1:9" x14ac:dyDescent="0.3">
      <c r="A26" t="str">
        <f t="shared" si="0"/>
        <v>"trumpet2 . year6-dot year6-date"</v>
      </c>
      <c r="B26" t="s">
        <v>30</v>
      </c>
      <c r="C26" t="s">
        <v>704</v>
      </c>
      <c r="D26" t="s">
        <v>1</v>
      </c>
      <c r="E26" t="s">
        <v>706</v>
      </c>
      <c r="F26" t="s">
        <v>707</v>
      </c>
      <c r="I26" s="2">
        <f>I21+360</f>
        <v>47192</v>
      </c>
    </row>
    <row r="27" spans="1:9" x14ac:dyDescent="0.3">
      <c r="A27" t="str">
        <f t="shared" si="0"/>
        <v>"trumpet2 . . year6"</v>
      </c>
      <c r="B27" t="s">
        <v>30</v>
      </c>
      <c r="C27" t="s">
        <v>704</v>
      </c>
      <c r="D27" t="s">
        <v>1</v>
      </c>
      <c r="E27" t="s">
        <v>1</v>
      </c>
      <c r="F27" t="s">
        <v>708</v>
      </c>
    </row>
    <row r="28" spans="1:9" x14ac:dyDescent="0.3">
      <c r="A28" t="str">
        <f t="shared" si="0"/>
        <v>"trumpet3-date trumpet3-dot . year6"</v>
      </c>
      <c r="B28" t="s">
        <v>30</v>
      </c>
      <c r="C28" t="s">
        <v>709</v>
      </c>
      <c r="D28" t="s">
        <v>710</v>
      </c>
      <c r="E28" t="s">
        <v>1</v>
      </c>
      <c r="F28" t="s">
        <v>708</v>
      </c>
      <c r="H28" s="2">
        <f>H25+210</f>
        <v>47282</v>
      </c>
    </row>
    <row r="29" spans="1:9" x14ac:dyDescent="0.3">
      <c r="A29" t="str">
        <f t="shared" si="0"/>
        <v>"trumpet3 . . year6"</v>
      </c>
      <c r="B29" t="s">
        <v>30</v>
      </c>
      <c r="C29" t="s">
        <v>711</v>
      </c>
      <c r="D29" t="s">
        <v>1</v>
      </c>
      <c r="E29" t="s">
        <v>1</v>
      </c>
      <c r="F29" t="s">
        <v>708</v>
      </c>
    </row>
    <row r="30" spans="1:9" x14ac:dyDescent="0.3">
      <c r="A30" t="str">
        <f t="shared" si="0"/>
        <v>"trumpet4-date trumpet4-dot . year6"</v>
      </c>
      <c r="B30" t="s">
        <v>30</v>
      </c>
      <c r="C30" t="s">
        <v>712</v>
      </c>
      <c r="D30" t="s">
        <v>713</v>
      </c>
      <c r="E30" t="s">
        <v>1</v>
      </c>
      <c r="F30" t="s">
        <v>708</v>
      </c>
      <c r="H30" s="2">
        <f>H28+210</f>
        <v>47492</v>
      </c>
    </row>
    <row r="31" spans="1:9" x14ac:dyDescent="0.3">
      <c r="A31" t="str">
        <f t="shared" si="0"/>
        <v>"trumpet4 . year7-dot year7-date"</v>
      </c>
      <c r="B31" t="s">
        <v>30</v>
      </c>
      <c r="C31" t="s">
        <v>714</v>
      </c>
      <c r="D31" t="s">
        <v>1</v>
      </c>
      <c r="E31" t="s">
        <v>716</v>
      </c>
      <c r="F31" t="s">
        <v>715</v>
      </c>
      <c r="I31" s="2">
        <f>I26+360</f>
        <v>47552</v>
      </c>
    </row>
    <row r="32" spans="1:9" x14ac:dyDescent="0.3">
      <c r="A32" t="str">
        <f t="shared" si="0"/>
        <v>"trumpet4 . . year7"</v>
      </c>
      <c r="B32" t="s">
        <v>30</v>
      </c>
      <c r="C32" t="s">
        <v>714</v>
      </c>
      <c r="D32" t="s">
        <v>1</v>
      </c>
      <c r="E32" t="s">
        <v>1</v>
      </c>
      <c r="F32" t="s">
        <v>717</v>
      </c>
    </row>
    <row r="33" spans="1:9" x14ac:dyDescent="0.3">
      <c r="A33" t="str">
        <f t="shared" si="0"/>
        <v>"trumpet5-date trumpet5-dot . year7"</v>
      </c>
      <c r="B33" t="s">
        <v>30</v>
      </c>
      <c r="C33" t="s">
        <v>718</v>
      </c>
      <c r="D33" t="s">
        <v>719</v>
      </c>
      <c r="E33" t="s">
        <v>1</v>
      </c>
      <c r="F33" t="s">
        <v>717</v>
      </c>
      <c r="H33" s="2">
        <f>H30+210</f>
        <v>47702</v>
      </c>
    </row>
    <row r="34" spans="1:9" x14ac:dyDescent="0.3">
      <c r="A34" t="str">
        <f t="shared" si="0"/>
        <v>"trumpet5 . . year7"</v>
      </c>
      <c r="B34" t="s">
        <v>30</v>
      </c>
      <c r="C34" t="s">
        <v>720</v>
      </c>
      <c r="D34" t="s">
        <v>1</v>
      </c>
      <c r="E34" t="s">
        <v>1</v>
      </c>
      <c r="F34" t="s">
        <v>717</v>
      </c>
    </row>
    <row r="35" spans="1:9" x14ac:dyDescent="0.3">
      <c r="A35" t="str">
        <f t="shared" si="0"/>
        <v>"trumpet6-date trumpet6-dot year8-dot year8-date"</v>
      </c>
      <c r="B35" t="s">
        <v>30</v>
      </c>
      <c r="C35" t="s">
        <v>723</v>
      </c>
      <c r="D35" t="s">
        <v>725</v>
      </c>
      <c r="E35" t="s">
        <v>722</v>
      </c>
      <c r="F35" t="s">
        <v>721</v>
      </c>
      <c r="H35" s="2">
        <f>H33+210</f>
        <v>47912</v>
      </c>
      <c r="I35" s="2">
        <f>I31+360</f>
        <v>47912</v>
      </c>
    </row>
    <row r="36" spans="1:9" x14ac:dyDescent="0.3">
      <c r="A36" t="str">
        <f t="shared" si="0"/>
        <v>"trumpet6 . . year8"</v>
      </c>
      <c r="B36" t="s">
        <v>30</v>
      </c>
      <c r="C36" t="s">
        <v>724</v>
      </c>
      <c r="D36" t="s">
        <v>1</v>
      </c>
      <c r="E36" t="s">
        <v>1</v>
      </c>
      <c r="F36" t="s">
        <v>730</v>
      </c>
    </row>
    <row r="37" spans="1:9" x14ac:dyDescent="0.3">
      <c r="A37" t="str">
        <f t="shared" si="0"/>
        <v>"ascension . . year8"</v>
      </c>
      <c r="B37" t="s">
        <v>30</v>
      </c>
      <c r="C37" t="s">
        <v>726</v>
      </c>
      <c r="D37" t="s">
        <v>1</v>
      </c>
      <c r="E37" t="s">
        <v>1</v>
      </c>
      <c r="F37" t="s">
        <v>730</v>
      </c>
    </row>
    <row r="38" spans="1:9" x14ac:dyDescent="0.3">
      <c r="A38" t="str">
        <f t="shared" si="0"/>
        <v>"trumpet7-date trumpet7-dot . year8"</v>
      </c>
      <c r="B38" t="s">
        <v>30</v>
      </c>
      <c r="C38" t="s">
        <v>727</v>
      </c>
      <c r="D38" t="s">
        <v>729</v>
      </c>
      <c r="E38" t="s">
        <v>1</v>
      </c>
      <c r="F38" t="s">
        <v>730</v>
      </c>
      <c r="H38" s="2">
        <f>H35+210</f>
        <v>48122</v>
      </c>
    </row>
    <row r="39" spans="1:9" x14ac:dyDescent="0.3">
      <c r="A39" t="str">
        <f t="shared" si="0"/>
        <v>"trumpet7 . year9-dot year9-date"</v>
      </c>
      <c r="B39" t="s">
        <v>30</v>
      </c>
      <c r="C39" t="s">
        <v>728</v>
      </c>
      <c r="D39" t="s">
        <v>1</v>
      </c>
      <c r="E39" t="s">
        <v>732</v>
      </c>
      <c r="F39" t="s">
        <v>731</v>
      </c>
      <c r="I39" s="2">
        <f>I35+360</f>
        <v>48272</v>
      </c>
    </row>
    <row r="40" spans="1:9" x14ac:dyDescent="0.3">
      <c r="A40" t="str">
        <f t="shared" si="0"/>
        <v>"vial1-date vial1-dot . year9"</v>
      </c>
      <c r="B40" t="s">
        <v>30</v>
      </c>
      <c r="C40" t="s">
        <v>733</v>
      </c>
      <c r="D40" t="s">
        <v>734</v>
      </c>
      <c r="E40" t="s">
        <v>1</v>
      </c>
      <c r="F40" t="s">
        <v>766</v>
      </c>
      <c r="H40" s="2">
        <f>H38+210</f>
        <v>48332</v>
      </c>
    </row>
    <row r="41" spans="1:9" x14ac:dyDescent="0.3">
      <c r="A41" t="str">
        <f t="shared" si="0"/>
        <v>"vial1 . . year9"</v>
      </c>
      <c r="B41" t="s">
        <v>30</v>
      </c>
      <c r="C41" t="s">
        <v>735</v>
      </c>
      <c r="D41" t="s">
        <v>1</v>
      </c>
      <c r="E41" t="s">
        <v>1</v>
      </c>
      <c r="F41" t="s">
        <v>766</v>
      </c>
    </row>
    <row r="42" spans="1:9" x14ac:dyDescent="0.3">
      <c r="A42" t="str">
        <f t="shared" ref="A42:A54" si="1">_xlfn.CONCAT(CHAR(34), _xlfn.TEXTJOIN(" ",TRUE,C42:F42),CHAR(34))</f>
        <v>"vial2-date vial2-dot . year9"</v>
      </c>
      <c r="B42" t="s">
        <v>30</v>
      </c>
      <c r="C42" t="s">
        <v>736</v>
      </c>
      <c r="D42" t="s">
        <v>737</v>
      </c>
      <c r="E42" t="s">
        <v>1</v>
      </c>
      <c r="F42" t="s">
        <v>766</v>
      </c>
      <c r="H42" s="2">
        <f>H40+210</f>
        <v>48542</v>
      </c>
    </row>
    <row r="43" spans="1:9" x14ac:dyDescent="0.3">
      <c r="A43" t="str">
        <f t="shared" si="1"/>
        <v>"vial2 . year10-dot year10-date"</v>
      </c>
      <c r="B43" t="s">
        <v>30</v>
      </c>
      <c r="C43" t="s">
        <v>742</v>
      </c>
      <c r="D43" t="s">
        <v>1</v>
      </c>
      <c r="E43" t="s">
        <v>738</v>
      </c>
      <c r="F43" t="s">
        <v>739</v>
      </c>
      <c r="I43" s="2">
        <f>I39+360</f>
        <v>48632</v>
      </c>
    </row>
    <row r="44" spans="1:9" x14ac:dyDescent="0.3">
      <c r="A44" t="str">
        <f t="shared" si="1"/>
        <v>"vial3-date vial3-dot . year10"</v>
      </c>
      <c r="B44" t="s">
        <v>30</v>
      </c>
      <c r="C44" t="s">
        <v>741</v>
      </c>
      <c r="D44" t="s">
        <v>744</v>
      </c>
      <c r="E44" t="s">
        <v>1</v>
      </c>
      <c r="F44" t="s">
        <v>740</v>
      </c>
      <c r="H44" s="2">
        <f>H42+210</f>
        <v>48752</v>
      </c>
    </row>
    <row r="45" spans="1:9" x14ac:dyDescent="0.3">
      <c r="A45" t="str">
        <f t="shared" si="1"/>
        <v>"vial3 . . year10"</v>
      </c>
      <c r="B45" t="s">
        <v>30</v>
      </c>
      <c r="C45" t="s">
        <v>743</v>
      </c>
      <c r="D45" t="s">
        <v>1</v>
      </c>
      <c r="E45" t="s">
        <v>1</v>
      </c>
      <c r="F45" t="s">
        <v>740</v>
      </c>
    </row>
    <row r="46" spans="1:9" x14ac:dyDescent="0.3">
      <c r="A46" t="str">
        <f t="shared" si="1"/>
        <v>"vial4-date vial4-dot . year10"</v>
      </c>
      <c r="B46" t="s">
        <v>30</v>
      </c>
      <c r="C46" t="s">
        <v>745</v>
      </c>
      <c r="D46" t="s">
        <v>747</v>
      </c>
      <c r="E46" t="s">
        <v>1</v>
      </c>
      <c r="F46" t="s">
        <v>740</v>
      </c>
      <c r="H46" s="2">
        <f>H44+210</f>
        <v>48962</v>
      </c>
    </row>
    <row r="47" spans="1:9" x14ac:dyDescent="0.3">
      <c r="A47" t="str">
        <f t="shared" si="1"/>
        <v>"vial4 . year11-dot year11-date"</v>
      </c>
      <c r="B47" t="s">
        <v>30</v>
      </c>
      <c r="C47" t="s">
        <v>746</v>
      </c>
      <c r="D47" t="s">
        <v>1</v>
      </c>
      <c r="E47" t="s">
        <v>749</v>
      </c>
      <c r="F47" t="s">
        <v>748</v>
      </c>
      <c r="I47" s="2">
        <f>I43+360</f>
        <v>48992</v>
      </c>
    </row>
    <row r="48" spans="1:9" x14ac:dyDescent="0.3">
      <c r="A48" t="str">
        <f t="shared" si="1"/>
        <v>"vial5-date vial5-dot . year11"</v>
      </c>
      <c r="B48" t="s">
        <v>30</v>
      </c>
      <c r="C48" t="s">
        <v>751</v>
      </c>
      <c r="D48" t="s">
        <v>753</v>
      </c>
      <c r="E48" t="s">
        <v>1</v>
      </c>
      <c r="F48" t="s">
        <v>750</v>
      </c>
      <c r="H48" s="2">
        <f>H46+210</f>
        <v>49172</v>
      </c>
    </row>
    <row r="49" spans="1:9" x14ac:dyDescent="0.3">
      <c r="A49" t="str">
        <f t="shared" si="1"/>
        <v>"vial5 . year12-dot year12-date"</v>
      </c>
      <c r="B49" t="s">
        <v>30</v>
      </c>
      <c r="C49" t="s">
        <v>752</v>
      </c>
      <c r="D49" t="s">
        <v>1</v>
      </c>
      <c r="E49" t="s">
        <v>759</v>
      </c>
      <c r="F49" t="s">
        <v>757</v>
      </c>
      <c r="I49" s="2">
        <f>I47+360</f>
        <v>49352</v>
      </c>
    </row>
    <row r="50" spans="1:9" x14ac:dyDescent="0.3">
      <c r="A50" t="str">
        <f t="shared" si="1"/>
        <v>"vial6-date vial6-dot . year12"</v>
      </c>
      <c r="B50" t="s">
        <v>30</v>
      </c>
      <c r="C50" t="s">
        <v>754</v>
      </c>
      <c r="D50" t="s">
        <v>756</v>
      </c>
      <c r="E50" t="s">
        <v>1</v>
      </c>
      <c r="F50" t="s">
        <v>758</v>
      </c>
      <c r="H50" s="2">
        <f>H48+210</f>
        <v>49382</v>
      </c>
    </row>
    <row r="51" spans="1:9" x14ac:dyDescent="0.3">
      <c r="A51" t="str">
        <f t="shared" si="1"/>
        <v>"vial6 . . year12"</v>
      </c>
      <c r="B51" t="s">
        <v>30</v>
      </c>
      <c r="C51" t="s">
        <v>755</v>
      </c>
      <c r="D51" t="s">
        <v>1</v>
      </c>
      <c r="E51" t="s">
        <v>1</v>
      </c>
      <c r="F51" t="s">
        <v>758</v>
      </c>
    </row>
    <row r="52" spans="1:9" x14ac:dyDescent="0.3">
      <c r="A52" t="str">
        <f t="shared" si="1"/>
        <v>"day-of-Yah . . year12"</v>
      </c>
      <c r="B52" t="s">
        <v>30</v>
      </c>
      <c r="C52" t="s">
        <v>760</v>
      </c>
      <c r="D52" t="s">
        <v>1</v>
      </c>
      <c r="E52" t="s">
        <v>1</v>
      </c>
      <c r="F52" t="s">
        <v>758</v>
      </c>
    </row>
    <row r="53" spans="1:9" x14ac:dyDescent="0.3">
      <c r="A53" t="str">
        <f t="shared" si="1"/>
        <v>"vial7-date vial7-dot . year12"</v>
      </c>
      <c r="B53" t="s">
        <v>30</v>
      </c>
      <c r="C53" t="s">
        <v>761</v>
      </c>
      <c r="D53" t="s">
        <v>763</v>
      </c>
      <c r="E53" t="s">
        <v>1</v>
      </c>
      <c r="F53" t="s">
        <v>758</v>
      </c>
      <c r="H53" s="2">
        <f>H50+210</f>
        <v>49592</v>
      </c>
    </row>
    <row r="54" spans="1:9" x14ac:dyDescent="0.3">
      <c r="A54" t="str">
        <f t="shared" si="1"/>
        <v>"vial7 . year13-dot year13-date"</v>
      </c>
      <c r="B54" t="s">
        <v>30</v>
      </c>
      <c r="C54" t="s">
        <v>762</v>
      </c>
      <c r="D54" t="s">
        <v>1</v>
      </c>
      <c r="E54" t="s">
        <v>765</v>
      </c>
      <c r="F54" t="s">
        <v>764</v>
      </c>
      <c r="I54" s="2">
        <f>I49+360</f>
        <v>49712</v>
      </c>
    </row>
    <row r="55" spans="1:9" x14ac:dyDescent="0.3">
      <c r="A55" t="str">
        <f t="shared" si="0"/>
        <v>". line1-end line2-end ."</v>
      </c>
      <c r="B55" t="s">
        <v>30</v>
      </c>
      <c r="C55" t="s">
        <v>1</v>
      </c>
      <c r="D55" t="s">
        <v>665</v>
      </c>
      <c r="E55" t="s">
        <v>666</v>
      </c>
      <c r="F55" t="s">
        <v>1</v>
      </c>
    </row>
  </sheetData>
  <conditionalFormatting sqref="C4:F55">
    <cfRule type="cellIs" dxfId="1" priority="1" operator="equal">
      <formula>""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0B8DA-8BB6-4030-B72F-FC2B80812A4D}">
  <dimension ref="A1:BG36"/>
  <sheetViews>
    <sheetView zoomScale="115" zoomScaleNormal="115" workbookViewId="0">
      <pane xSplit="1" topLeftCell="B1" activePane="topRight" state="frozen"/>
      <selection pane="topRight" activeCell="A4" sqref="A4:A36"/>
    </sheetView>
  </sheetViews>
  <sheetFormatPr defaultRowHeight="14.4" x14ac:dyDescent="0.3"/>
  <cols>
    <col min="3" max="3" width="13.109375" bestFit="1" customWidth="1"/>
    <col min="4" max="4" width="11.44140625" bestFit="1" customWidth="1"/>
    <col min="5" max="5" width="12.88671875" bestFit="1" customWidth="1"/>
    <col min="6" max="6" width="11.44140625" bestFit="1" customWidth="1"/>
    <col min="7" max="7" width="12.88671875" bestFit="1" customWidth="1"/>
    <col min="8" max="8" width="11.44140625" bestFit="1" customWidth="1"/>
    <col min="9" max="9" width="12.88671875" bestFit="1" customWidth="1"/>
    <col min="10" max="10" width="11.44140625" bestFit="1" customWidth="1"/>
    <col min="11" max="11" width="12.88671875" bestFit="1" customWidth="1"/>
    <col min="12" max="12" width="11.44140625" bestFit="1" customWidth="1"/>
    <col min="13" max="13" width="12.88671875" bestFit="1" customWidth="1"/>
    <col min="14" max="14" width="13.77734375" bestFit="1" customWidth="1"/>
    <col min="15" max="15" width="12.88671875" bestFit="1" customWidth="1"/>
    <col min="16" max="16" width="15" bestFit="1" customWidth="1"/>
    <col min="17" max="17" width="13.88671875" bestFit="1" customWidth="1"/>
    <col min="18" max="18" width="11.88671875" bestFit="1" customWidth="1"/>
    <col min="19" max="19" width="12.88671875" bestFit="1" customWidth="1"/>
    <col min="20" max="20" width="14.5546875" bestFit="1" customWidth="1"/>
    <col min="21" max="21" width="16" bestFit="1" customWidth="1"/>
    <col min="22" max="22" width="14.5546875" bestFit="1" customWidth="1"/>
    <col min="23" max="23" width="16" bestFit="1" customWidth="1"/>
    <col min="24" max="24" width="14.5546875" bestFit="1" customWidth="1"/>
    <col min="25" max="25" width="16" bestFit="1" customWidth="1"/>
    <col min="26" max="26" width="14.5546875" bestFit="1" customWidth="1"/>
    <col min="27" max="27" width="16" bestFit="1" customWidth="1"/>
    <col min="28" max="28" width="14.5546875" bestFit="1" customWidth="1"/>
    <col min="29" max="29" width="16" bestFit="1" customWidth="1"/>
    <col min="30" max="30" width="14.5546875" bestFit="1" customWidth="1"/>
    <col min="31" max="31" width="16" bestFit="1" customWidth="1"/>
    <col min="32" max="32" width="14.5546875" bestFit="1" customWidth="1"/>
    <col min="33" max="33" width="16.21875" bestFit="1" customWidth="1"/>
    <col min="34" max="34" width="14.5546875" bestFit="1" customWidth="1"/>
    <col min="35" max="35" width="16" bestFit="1" customWidth="1"/>
    <col min="36" max="36" width="10.77734375" bestFit="1" customWidth="1"/>
    <col min="37" max="37" width="12.21875" bestFit="1" customWidth="1"/>
    <col min="38" max="38" width="10.77734375" bestFit="1" customWidth="1"/>
    <col min="39" max="39" width="12.21875" bestFit="1" customWidth="1"/>
    <col min="40" max="40" width="10.77734375" bestFit="1" customWidth="1"/>
    <col min="41" max="41" width="12.21875" bestFit="1" customWidth="1"/>
    <col min="42" max="42" width="10.77734375" bestFit="1" customWidth="1"/>
    <col min="43" max="43" width="12.21875" bestFit="1" customWidth="1"/>
    <col min="44" max="44" width="10.77734375" bestFit="1" customWidth="1"/>
    <col min="45" max="45" width="12.21875" bestFit="1" customWidth="1"/>
    <col min="46" max="46" width="10.77734375" bestFit="1" customWidth="1"/>
    <col min="47" max="47" width="12.21875" bestFit="1" customWidth="1"/>
    <col min="48" max="48" width="6.44140625" bestFit="1" customWidth="1"/>
    <col min="49" max="49" width="11.44140625" bestFit="1" customWidth="1"/>
    <col min="50" max="50" width="10.77734375" bestFit="1" customWidth="1"/>
    <col min="51" max="51" width="12.21875" bestFit="1" customWidth="1"/>
    <col min="52" max="52" width="6.21875" bestFit="1" customWidth="1"/>
    <col min="53" max="53" width="15.33203125" bestFit="1" customWidth="1"/>
    <col min="54" max="54" width="1.5546875" bestFit="1" customWidth="1"/>
    <col min="55" max="55" width="11.88671875" bestFit="1" customWidth="1"/>
    <col min="56" max="56" width="1.5546875" bestFit="1" customWidth="1"/>
    <col min="57" max="57" width="15.6640625" bestFit="1" customWidth="1"/>
    <col min="58" max="58" width="1.5546875" bestFit="1" customWidth="1"/>
    <col min="59" max="59" width="16.44140625" bestFit="1" customWidth="1"/>
  </cols>
  <sheetData>
    <row r="1" spans="1:59" x14ac:dyDescent="0.3">
      <c r="A1" t="s">
        <v>132</v>
      </c>
      <c r="B1">
        <f>COUNTA(C6:AAA6)</f>
        <v>57</v>
      </c>
    </row>
    <row r="2" spans="1:59" x14ac:dyDescent="0.3">
      <c r="A2" t="s">
        <v>131</v>
      </c>
      <c r="B2">
        <f>COUNTA(A6:A136)</f>
        <v>31</v>
      </c>
    </row>
    <row r="3" spans="1:59" x14ac:dyDescent="0.3">
      <c r="B3" t="s">
        <v>30</v>
      </c>
    </row>
    <row r="4" spans="1:59" x14ac:dyDescent="0.3">
      <c r="A4" t="str">
        <f t="shared" ref="A4:A35" si="0">_xlfn.CONCAT(CHAR(34), _xlfn.TEXTJOIN(" ",TRUE,C4:AAA4),CHAR(34))</f>
        <v>"y-start y-2023 y-2023 y-2023 y-2024 y-2024 y-2024 y-2024 y-2025 y-2025 y-2025 y-2025 y-2026 y-2026 y-2026 y-2026 y-2027 y-2027 y-2027 y-2027 y-2028 y-2028 y-2028 y-2028 y-2029 y-2029 y-2029 y-2030 y-2030 y-2030 . . y-2031 y-2031 y-2031 y-2031 y-2032 y-2032 y-2032 y-2033 y-2033 y-2033 y-2033 y-2034 y-2034 y-2034 . . . y-end y-end . . . . . ."</v>
      </c>
      <c r="B4" t="s">
        <v>30</v>
      </c>
      <c r="C4" t="s">
        <v>130</v>
      </c>
      <c r="D4" t="s">
        <v>129</v>
      </c>
      <c r="E4" t="s">
        <v>129</v>
      </c>
      <c r="F4" t="s">
        <v>129</v>
      </c>
      <c r="G4" t="s">
        <v>128</v>
      </c>
      <c r="H4" t="s">
        <v>128</v>
      </c>
      <c r="I4" t="s">
        <v>128</v>
      </c>
      <c r="J4" t="s">
        <v>128</v>
      </c>
      <c r="K4" t="s">
        <v>127</v>
      </c>
      <c r="L4" t="s">
        <v>127</v>
      </c>
      <c r="M4" t="s">
        <v>127</v>
      </c>
      <c r="N4" t="s">
        <v>127</v>
      </c>
      <c r="O4" t="s">
        <v>126</v>
      </c>
      <c r="P4" t="s">
        <v>126</v>
      </c>
      <c r="Q4" t="s">
        <v>126</v>
      </c>
      <c r="R4" t="s">
        <v>126</v>
      </c>
      <c r="S4" t="s">
        <v>125</v>
      </c>
      <c r="T4" t="s">
        <v>125</v>
      </c>
      <c r="U4" t="s">
        <v>125</v>
      </c>
      <c r="V4" t="s">
        <v>125</v>
      </c>
      <c r="W4" t="s">
        <v>124</v>
      </c>
      <c r="X4" t="s">
        <v>124</v>
      </c>
      <c r="Y4" t="s">
        <v>124</v>
      </c>
      <c r="Z4" t="s">
        <v>124</v>
      </c>
      <c r="AA4" t="s">
        <v>123</v>
      </c>
      <c r="AB4" t="s">
        <v>123</v>
      </c>
      <c r="AC4" t="s">
        <v>123</v>
      </c>
      <c r="AD4" t="s">
        <v>122</v>
      </c>
      <c r="AE4" t="s">
        <v>122</v>
      </c>
      <c r="AF4" t="s">
        <v>122</v>
      </c>
      <c r="AG4" t="s">
        <v>1</v>
      </c>
      <c r="AH4" t="s">
        <v>1</v>
      </c>
      <c r="AI4" t="s">
        <v>121</v>
      </c>
      <c r="AJ4" t="s">
        <v>121</v>
      </c>
      <c r="AK4" t="s">
        <v>121</v>
      </c>
      <c r="AL4" t="s">
        <v>121</v>
      </c>
      <c r="AM4" t="s">
        <v>120</v>
      </c>
      <c r="AN4" t="s">
        <v>120</v>
      </c>
      <c r="AO4" t="s">
        <v>120</v>
      </c>
      <c r="AP4" t="s">
        <v>119</v>
      </c>
      <c r="AQ4" t="s">
        <v>119</v>
      </c>
      <c r="AR4" t="s">
        <v>119</v>
      </c>
      <c r="AS4" t="s">
        <v>119</v>
      </c>
      <c r="AT4" t="s">
        <v>118</v>
      </c>
      <c r="AU4" t="s">
        <v>118</v>
      </c>
      <c r="AV4" t="s">
        <v>118</v>
      </c>
      <c r="AW4" t="s">
        <v>1</v>
      </c>
      <c r="AX4" t="s">
        <v>1</v>
      </c>
      <c r="AY4" t="s">
        <v>1</v>
      </c>
      <c r="AZ4" t="s">
        <v>117</v>
      </c>
      <c r="BA4" t="s">
        <v>117</v>
      </c>
      <c r="BB4" t="s">
        <v>1</v>
      </c>
      <c r="BC4" t="s">
        <v>1</v>
      </c>
      <c r="BD4" t="s">
        <v>1</v>
      </c>
      <c r="BE4" t="s">
        <v>1</v>
      </c>
      <c r="BF4" t="s">
        <v>1</v>
      </c>
      <c r="BG4" t="s">
        <v>1</v>
      </c>
    </row>
    <row r="5" spans="1:59" x14ac:dyDescent="0.3">
      <c r="A5" t="str">
        <f t="shared" si="0"/>
        <v>"m-start m-tab-seal-1 m-tab-seal-1 m-tab-seal-2 m-tab-seal-2 m-tab-seal-3 m-tab-seal-3 m-tab-seal-4 m-tab-seal-4 m-tab-seal-5 m-tab-seal-5 m-tab-seal-6 m-tab-seal-6 m-tab-seal-7 m-tab-seal-7 m-tab-seal-7 m-tab-seal-7 m-tab-trumpet-1 m-tab-trumpet-1 m-tab-trumpet-2 m-tab-trumpet-2 m-tab-trumpet-3 m-tab-trumpet-3 m-tab-trumpet-4 m-tab-trumpet-4 m-tab-trumpet-5 m-tab-trumpet-5 m-tab-trumpet-6 m-tab-trumpet-6 m-tab-trumpet-7 m-tab-trumpet-7 m-tab-trumpet-7 m-tab-trumpet-7 m-tab-vial-1 m-tab-vial-1 m-tab-vial-2 m-tab-vial-2 m-tab-vial-3 m-tab-vial-3 m-tab-vial-4 m-tab-vial-4 m-tab-vial-5 m-tab-vial-5 m-tab-vial-6 m-tab-vial-6 m-tab-vial-7 m-tab-vial-7 m-tab-vial-7 m-tab-vial-7 m-end m-end . . . . . ."</v>
      </c>
      <c r="B5" t="s">
        <v>30</v>
      </c>
      <c r="C5" t="s">
        <v>116</v>
      </c>
      <c r="D5" t="str">
        <f>_xlfn.CONCAT("m-",E7)</f>
        <v>m-tab-seal-1</v>
      </c>
      <c r="E5" t="str">
        <f>D5</f>
        <v>m-tab-seal-1</v>
      </c>
      <c r="F5" t="str">
        <f>_xlfn.CONCAT("m-",G7)</f>
        <v>m-tab-seal-2</v>
      </c>
      <c r="G5" t="str">
        <f>F5</f>
        <v>m-tab-seal-2</v>
      </c>
      <c r="H5" t="str">
        <f>_xlfn.CONCAT("m-",I7)</f>
        <v>m-tab-seal-3</v>
      </c>
      <c r="I5" t="str">
        <f>H5</f>
        <v>m-tab-seal-3</v>
      </c>
      <c r="J5" t="str">
        <f>_xlfn.CONCAT("m-",K7)</f>
        <v>m-tab-seal-4</v>
      </c>
      <c r="K5" t="str">
        <f>J5</f>
        <v>m-tab-seal-4</v>
      </c>
      <c r="L5" t="str">
        <f>_xlfn.CONCAT("m-",M7)</f>
        <v>m-tab-seal-5</v>
      </c>
      <c r="M5" t="str">
        <f>L5</f>
        <v>m-tab-seal-5</v>
      </c>
      <c r="N5" t="str">
        <f>_xlfn.CONCAT("m-",O7)</f>
        <v>m-tab-seal-6</v>
      </c>
      <c r="O5" t="str">
        <f>N5</f>
        <v>m-tab-seal-6</v>
      </c>
      <c r="P5" t="str">
        <f>Q5</f>
        <v>m-tab-seal-7</v>
      </c>
      <c r="Q5" t="str">
        <f>R5</f>
        <v>m-tab-seal-7</v>
      </c>
      <c r="R5" t="str">
        <f>_xlfn.CONCAT("m-",S7)</f>
        <v>m-tab-seal-7</v>
      </c>
      <c r="S5" t="str">
        <f>R5</f>
        <v>m-tab-seal-7</v>
      </c>
      <c r="T5" t="str">
        <f>_xlfn.CONCAT("m-",U7)</f>
        <v>m-tab-trumpet-1</v>
      </c>
      <c r="U5" t="str">
        <f>T5</f>
        <v>m-tab-trumpet-1</v>
      </c>
      <c r="V5" t="str">
        <f>_xlfn.CONCAT("m-",W7)</f>
        <v>m-tab-trumpet-2</v>
      </c>
      <c r="W5" t="str">
        <f>V5</f>
        <v>m-tab-trumpet-2</v>
      </c>
      <c r="X5" t="str">
        <f>_xlfn.CONCAT("m-",Y7)</f>
        <v>m-tab-trumpet-3</v>
      </c>
      <c r="Y5" t="str">
        <f>X5</f>
        <v>m-tab-trumpet-3</v>
      </c>
      <c r="Z5" t="str">
        <f>_xlfn.CONCAT("m-",AA7)</f>
        <v>m-tab-trumpet-4</v>
      </c>
      <c r="AA5" t="str">
        <f>Z5</f>
        <v>m-tab-trumpet-4</v>
      </c>
      <c r="AB5" t="str">
        <f>_xlfn.CONCAT("m-",AC7)</f>
        <v>m-tab-trumpet-5</v>
      </c>
      <c r="AC5" t="str">
        <f>AB5</f>
        <v>m-tab-trumpet-5</v>
      </c>
      <c r="AD5" t="str">
        <f>_xlfn.CONCAT("m-",AE7)</f>
        <v>m-tab-trumpet-6</v>
      </c>
      <c r="AE5" t="str">
        <f>AD5</f>
        <v>m-tab-trumpet-6</v>
      </c>
      <c r="AF5" t="str">
        <f>AG5</f>
        <v>m-tab-trumpet-7</v>
      </c>
      <c r="AG5" t="str">
        <f>AH5</f>
        <v>m-tab-trumpet-7</v>
      </c>
      <c r="AH5" t="str">
        <f>_xlfn.CONCAT("m-",AI7)</f>
        <v>m-tab-trumpet-7</v>
      </c>
      <c r="AI5" t="str">
        <f>AH5</f>
        <v>m-tab-trumpet-7</v>
      </c>
      <c r="AJ5" t="str">
        <f>_xlfn.CONCAT("m-",AK7)</f>
        <v>m-tab-vial-1</v>
      </c>
      <c r="AK5" t="str">
        <f>AJ5</f>
        <v>m-tab-vial-1</v>
      </c>
      <c r="AL5" t="str">
        <f>_xlfn.CONCAT("m-",AM7)</f>
        <v>m-tab-vial-2</v>
      </c>
      <c r="AM5" t="str">
        <f>AL5</f>
        <v>m-tab-vial-2</v>
      </c>
      <c r="AN5" t="str">
        <f>_xlfn.CONCAT("m-",AO7)</f>
        <v>m-tab-vial-3</v>
      </c>
      <c r="AO5" t="str">
        <f>AN5</f>
        <v>m-tab-vial-3</v>
      </c>
      <c r="AP5" t="str">
        <f>_xlfn.CONCAT("m-",AQ7)</f>
        <v>m-tab-vial-4</v>
      </c>
      <c r="AQ5" t="str">
        <f>AP5</f>
        <v>m-tab-vial-4</v>
      </c>
      <c r="AR5" t="str">
        <f>_xlfn.CONCAT("m-",AS7)</f>
        <v>m-tab-vial-5</v>
      </c>
      <c r="AS5" t="str">
        <f>AR5</f>
        <v>m-tab-vial-5</v>
      </c>
      <c r="AT5" t="str">
        <f>_xlfn.CONCAT("m-",AU7)</f>
        <v>m-tab-vial-6</v>
      </c>
      <c r="AU5" t="str">
        <f>AT5</f>
        <v>m-tab-vial-6</v>
      </c>
      <c r="AV5" t="s">
        <v>465</v>
      </c>
      <c r="AW5" t="s">
        <v>465</v>
      </c>
      <c r="AX5" t="str">
        <f>_xlfn.CONCAT("m-",AY7)</f>
        <v>m-tab-vial-7</v>
      </c>
      <c r="AY5" t="str">
        <f>AX5</f>
        <v>m-tab-vial-7</v>
      </c>
      <c r="AZ5" t="s">
        <v>115</v>
      </c>
      <c r="BA5" t="s">
        <v>115</v>
      </c>
      <c r="BB5" t="s">
        <v>1</v>
      </c>
      <c r="BC5" t="s">
        <v>1</v>
      </c>
      <c r="BD5" t="s">
        <v>1</v>
      </c>
      <c r="BE5" t="s">
        <v>1</v>
      </c>
      <c r="BF5" t="s">
        <v>1</v>
      </c>
      <c r="BG5" t="s">
        <v>1</v>
      </c>
    </row>
    <row r="6" spans="1:59" x14ac:dyDescent="0.3">
      <c r="A6" t="str">
        <f t="shared" si="0"/>
        <v>"h-tab-rev-12 . h-tab-seal-1 . h-tab-seal-2 . h-tab-seal-3 . h-tab-seal-4 . h-tab-seal-5 . h-tab-seal-6 . h-tab-rapture . h-tab-seal-7 . h-tab-trumpet-1 . h-tab-trumpet-2 . h-tab-trumpet-3 . h-tab-trumpet-4 . h-tab-trumpet-5 . h-tab-trumpet-6 . h-tab-ascension . h-tab-trumpet-7 . h-tab-vial-1 . h-tab-vial-2 . h-tab-vial-3 . h-tab-vial-4 . h-tab-vial-5 . h-tab-vial-6 . h-tab-thief . h-tab-vial-7 . h-tab-pre-1000 . h-tab-1000 . h-tab-end-1000 . h-tab-judgement"</v>
      </c>
      <c r="B6" t="s">
        <v>30</v>
      </c>
      <c r="C6" t="str">
        <f>_xlfn.CONCAT("h-",C7)</f>
        <v>h-tab-rev-12</v>
      </c>
      <c r="D6" t="s">
        <v>1</v>
      </c>
      <c r="E6" t="str">
        <f>_xlfn.CONCAT("h-",E7)</f>
        <v>h-tab-seal-1</v>
      </c>
      <c r="F6" t="s">
        <v>1</v>
      </c>
      <c r="G6" t="str">
        <f>_xlfn.CONCAT("h-",G7)</f>
        <v>h-tab-seal-2</v>
      </c>
      <c r="H6" t="s">
        <v>1</v>
      </c>
      <c r="I6" t="str">
        <f>_xlfn.CONCAT("h-",I7)</f>
        <v>h-tab-seal-3</v>
      </c>
      <c r="J6" t="s">
        <v>1</v>
      </c>
      <c r="K6" t="str">
        <f>_xlfn.CONCAT("h-",K7)</f>
        <v>h-tab-seal-4</v>
      </c>
      <c r="L6" t="s">
        <v>1</v>
      </c>
      <c r="M6" t="str">
        <f>_xlfn.CONCAT("h-",M7)</f>
        <v>h-tab-seal-5</v>
      </c>
      <c r="N6" t="s">
        <v>1</v>
      </c>
      <c r="O6" t="str">
        <f>_xlfn.CONCAT("h-",O7)</f>
        <v>h-tab-seal-6</v>
      </c>
      <c r="P6" t="s">
        <v>1</v>
      </c>
      <c r="Q6" t="str">
        <f>_xlfn.CONCAT("h-",Q7)</f>
        <v>h-tab-rapture</v>
      </c>
      <c r="R6" t="s">
        <v>1</v>
      </c>
      <c r="S6" t="str">
        <f>_xlfn.CONCAT("h-",S7)</f>
        <v>h-tab-seal-7</v>
      </c>
      <c r="T6" t="s">
        <v>1</v>
      </c>
      <c r="U6" t="str">
        <f>_xlfn.CONCAT("h-",U7)</f>
        <v>h-tab-trumpet-1</v>
      </c>
      <c r="V6" t="s">
        <v>1</v>
      </c>
      <c r="W6" t="str">
        <f>_xlfn.CONCAT("h-",W7)</f>
        <v>h-tab-trumpet-2</v>
      </c>
      <c r="X6" t="s">
        <v>1</v>
      </c>
      <c r="Y6" t="str">
        <f>_xlfn.CONCAT("h-",Y7)</f>
        <v>h-tab-trumpet-3</v>
      </c>
      <c r="Z6" t="s">
        <v>1</v>
      </c>
      <c r="AA6" t="str">
        <f>_xlfn.CONCAT("h-",AA7)</f>
        <v>h-tab-trumpet-4</v>
      </c>
      <c r="AB6" t="s">
        <v>1</v>
      </c>
      <c r="AC6" t="str">
        <f>_xlfn.CONCAT("h-",AC7)</f>
        <v>h-tab-trumpet-5</v>
      </c>
      <c r="AD6" t="s">
        <v>1</v>
      </c>
      <c r="AE6" t="str">
        <f>_xlfn.CONCAT("h-",AE7)</f>
        <v>h-tab-trumpet-6</v>
      </c>
      <c r="AF6" t="s">
        <v>1</v>
      </c>
      <c r="AG6" t="str">
        <f>_xlfn.CONCAT("h-",AG7)</f>
        <v>h-tab-ascension</v>
      </c>
      <c r="AH6" t="s">
        <v>1</v>
      </c>
      <c r="AI6" t="str">
        <f>_xlfn.CONCAT("h-",AI7)</f>
        <v>h-tab-trumpet-7</v>
      </c>
      <c r="AJ6" t="s">
        <v>1</v>
      </c>
      <c r="AK6" t="str">
        <f>_xlfn.CONCAT("h-",AK7)</f>
        <v>h-tab-vial-1</v>
      </c>
      <c r="AL6" t="s">
        <v>1</v>
      </c>
      <c r="AM6" t="str">
        <f>_xlfn.CONCAT("h-",AM7)</f>
        <v>h-tab-vial-2</v>
      </c>
      <c r="AN6" t="s">
        <v>1</v>
      </c>
      <c r="AO6" t="str">
        <f>_xlfn.CONCAT("h-",AO7)</f>
        <v>h-tab-vial-3</v>
      </c>
      <c r="AP6" t="s">
        <v>1</v>
      </c>
      <c r="AQ6" t="str">
        <f>_xlfn.CONCAT("h-",AQ7)</f>
        <v>h-tab-vial-4</v>
      </c>
      <c r="AR6" t="s">
        <v>1</v>
      </c>
      <c r="AS6" t="str">
        <f>_xlfn.CONCAT("h-",AS7)</f>
        <v>h-tab-vial-5</v>
      </c>
      <c r="AT6" t="s">
        <v>1</v>
      </c>
      <c r="AU6" t="str">
        <f>_xlfn.CONCAT("h-",AU7)</f>
        <v>h-tab-vial-6</v>
      </c>
      <c r="AV6" t="s">
        <v>1</v>
      </c>
      <c r="AW6" t="str">
        <f>_xlfn.CONCAT("h-",AW7)</f>
        <v>h-tab-thief</v>
      </c>
      <c r="AX6" t="s">
        <v>1</v>
      </c>
      <c r="AY6" t="str">
        <f>_xlfn.CONCAT("h-",AY7)</f>
        <v>h-tab-vial-7</v>
      </c>
      <c r="AZ6" t="s">
        <v>1</v>
      </c>
      <c r="BA6" t="str">
        <f>_xlfn.CONCAT("h-",BA7)</f>
        <v>h-tab-pre-1000</v>
      </c>
      <c r="BB6" t="s">
        <v>1</v>
      </c>
      <c r="BC6" t="str">
        <f>_xlfn.CONCAT("h-",BC7)</f>
        <v>h-tab-1000</v>
      </c>
      <c r="BD6" t="s">
        <v>1</v>
      </c>
      <c r="BE6" t="str">
        <f>_xlfn.CONCAT("h-",BE7)</f>
        <v>h-tab-end-1000</v>
      </c>
      <c r="BF6" t="s">
        <v>1</v>
      </c>
      <c r="BG6" t="str">
        <f>_xlfn.CONCAT("h-",BG7)</f>
        <v>h-tab-judgement</v>
      </c>
    </row>
    <row r="7" spans="1:59" x14ac:dyDescent="0.3">
      <c r="A7" t="str">
        <f t="shared" si="0"/>
        <v>"tab-rev-12 . tab-seal-1 . tab-seal-2 . tab-seal-3 . tab-seal-4 . tab-seal-5 . tab-seal-6 . tab-rapture . tab-seal-7 . tab-trumpet-1 . tab-trumpet-2 . tab-trumpet-3 . tab-trumpet-4 . tab-trumpet-5 . tab-trumpet-6 . tab-ascension . tab-trumpet-7 . tab-vial-1 . tab-vial-2 . tab-vial-3 . tab-vial-4 . tab-vial-5 . tab-vial-6 . tab-thief . tab-vial-7 . tab-pre-1000 . tab-1000 . tab-end-1000 . tab-judgement"</v>
      </c>
      <c r="B7" t="s">
        <v>30</v>
      </c>
      <c r="C7" t="s">
        <v>114</v>
      </c>
      <c r="D7" t="s">
        <v>1</v>
      </c>
      <c r="E7" t="s">
        <v>113</v>
      </c>
      <c r="F7" t="s">
        <v>1</v>
      </c>
      <c r="G7" t="s">
        <v>112</v>
      </c>
      <c r="H7" t="s">
        <v>1</v>
      </c>
      <c r="I7" t="s">
        <v>111</v>
      </c>
      <c r="J7" t="s">
        <v>1</v>
      </c>
      <c r="K7" t="s">
        <v>110</v>
      </c>
      <c r="L7" t="s">
        <v>1</v>
      </c>
      <c r="M7" t="s">
        <v>109</v>
      </c>
      <c r="N7" t="s">
        <v>1</v>
      </c>
      <c r="O7" t="s">
        <v>108</v>
      </c>
      <c r="P7" t="s">
        <v>1</v>
      </c>
      <c r="Q7" t="s">
        <v>107</v>
      </c>
      <c r="R7" t="s">
        <v>1</v>
      </c>
      <c r="S7" t="s">
        <v>106</v>
      </c>
      <c r="T7" t="s">
        <v>1</v>
      </c>
      <c r="U7" t="s">
        <v>105</v>
      </c>
      <c r="V7" t="s">
        <v>1</v>
      </c>
      <c r="W7" t="s">
        <v>104</v>
      </c>
      <c r="X7" t="s">
        <v>1</v>
      </c>
      <c r="Y7" t="s">
        <v>103</v>
      </c>
      <c r="Z7" t="s">
        <v>1</v>
      </c>
      <c r="AA7" t="s">
        <v>102</v>
      </c>
      <c r="AB7" t="s">
        <v>1</v>
      </c>
      <c r="AC7" t="s">
        <v>101</v>
      </c>
      <c r="AD7" t="s">
        <v>1</v>
      </c>
      <c r="AE7" t="s">
        <v>100</v>
      </c>
      <c r="AF7" t="s">
        <v>1</v>
      </c>
      <c r="AG7" t="s">
        <v>99</v>
      </c>
      <c r="AH7" t="s">
        <v>1</v>
      </c>
      <c r="AI7" t="s">
        <v>98</v>
      </c>
      <c r="AJ7" t="s">
        <v>1</v>
      </c>
      <c r="AK7" t="s">
        <v>97</v>
      </c>
      <c r="AL7" t="s">
        <v>1</v>
      </c>
      <c r="AM7" t="s">
        <v>96</v>
      </c>
      <c r="AN7" t="s">
        <v>1</v>
      </c>
      <c r="AO7" t="s">
        <v>95</v>
      </c>
      <c r="AP7" t="s">
        <v>1</v>
      </c>
      <c r="AQ7" t="s">
        <v>94</v>
      </c>
      <c r="AR7" t="s">
        <v>1</v>
      </c>
      <c r="AS7" t="s">
        <v>93</v>
      </c>
      <c r="AT7" t="s">
        <v>1</v>
      </c>
      <c r="AU7" t="s">
        <v>92</v>
      </c>
      <c r="AV7" t="s">
        <v>1</v>
      </c>
      <c r="AW7" t="s">
        <v>91</v>
      </c>
      <c r="AX7" t="s">
        <v>1</v>
      </c>
      <c r="AY7" t="s">
        <v>90</v>
      </c>
      <c r="AZ7" t="s">
        <v>1</v>
      </c>
      <c r="BA7" t="s">
        <v>89</v>
      </c>
      <c r="BB7" t="s">
        <v>1</v>
      </c>
      <c r="BC7" t="s">
        <v>88</v>
      </c>
      <c r="BD7" t="s">
        <v>1</v>
      </c>
      <c r="BE7" t="s">
        <v>87</v>
      </c>
      <c r="BF7" t="s">
        <v>1</v>
      </c>
      <c r="BG7" t="s">
        <v>86</v>
      </c>
    </row>
    <row r="8" spans="1:59" x14ac:dyDescent="0.3">
      <c r="A8" t="str">
        <f t="shared" si="0"/>
        <v>". tj-rev-12-2 tj-rev-12-3 tj-rev-12-3 tj-rev-12-3 tj-rev-12-3 tj-rev-12-3 tj-rev-12-3 tj-rev-12-3 tj-rev-12-3 tj-rev-12-3 tj-rev-12-3 . tj-rev-12-4 . tj-rev-12-5b-d . tj-rev-12-5b-up . tj-rev-12-6 . tj-rev-12-6-up . tj-rev-12-9 tj-rev-12-9-u tj-rev-12-9-u tj-rev-12-9-u tj-rev-12-9-u tj-rev-12-9-u tj-rev-12-9-up . . . . . . . . . . . . . . . . . . . . . . . . . . ."</v>
      </c>
      <c r="B8" t="s">
        <v>30</v>
      </c>
      <c r="C8" t="s">
        <v>1</v>
      </c>
      <c r="D8" t="s">
        <v>85</v>
      </c>
      <c r="E8" t="s">
        <v>84</v>
      </c>
      <c r="F8" t="s">
        <v>84</v>
      </c>
      <c r="G8" t="s">
        <v>84</v>
      </c>
      <c r="H8" t="s">
        <v>84</v>
      </c>
      <c r="I8" t="s">
        <v>84</v>
      </c>
      <c r="J8" t="s">
        <v>84</v>
      </c>
      <c r="K8" t="s">
        <v>84</v>
      </c>
      <c r="L8" t="s">
        <v>84</v>
      </c>
      <c r="M8" t="s">
        <v>84</v>
      </c>
      <c r="N8" t="s">
        <v>84</v>
      </c>
      <c r="O8" t="s">
        <v>1</v>
      </c>
      <c r="P8" t="s">
        <v>83</v>
      </c>
      <c r="Q8" t="s">
        <v>1</v>
      </c>
      <c r="R8" t="s">
        <v>357</v>
      </c>
      <c r="S8" t="s">
        <v>1</v>
      </c>
      <c r="T8" t="s">
        <v>464</v>
      </c>
      <c r="U8" t="s">
        <v>1</v>
      </c>
      <c r="V8" t="s">
        <v>82</v>
      </c>
      <c r="W8" t="s">
        <v>1</v>
      </c>
      <c r="X8" t="s">
        <v>359</v>
      </c>
      <c r="Y8" t="s">
        <v>1</v>
      </c>
      <c r="Z8" t="s">
        <v>490</v>
      </c>
      <c r="AA8" t="s">
        <v>491</v>
      </c>
      <c r="AB8" t="s">
        <v>491</v>
      </c>
      <c r="AC8" t="s">
        <v>491</v>
      </c>
      <c r="AD8" t="s">
        <v>491</v>
      </c>
      <c r="AE8" t="s">
        <v>491</v>
      </c>
      <c r="AF8" t="s">
        <v>627</v>
      </c>
      <c r="AG8" t="s">
        <v>1</v>
      </c>
      <c r="AH8" t="s">
        <v>1</v>
      </c>
      <c r="AI8" t="s">
        <v>1</v>
      </c>
      <c r="AJ8" t="s">
        <v>1</v>
      </c>
      <c r="AK8" t="s">
        <v>1</v>
      </c>
      <c r="AL8" t="s">
        <v>1</v>
      </c>
      <c r="AM8" t="s">
        <v>1</v>
      </c>
      <c r="AN8" t="s">
        <v>1</v>
      </c>
      <c r="AO8" t="s">
        <v>1</v>
      </c>
      <c r="AP8" t="s">
        <v>1</v>
      </c>
      <c r="AQ8" t="s">
        <v>1</v>
      </c>
      <c r="AR8" t="s">
        <v>1</v>
      </c>
      <c r="AS8" t="s">
        <v>1</v>
      </c>
      <c r="AT8" t="s">
        <v>1</v>
      </c>
      <c r="AU8" t="s">
        <v>1</v>
      </c>
      <c r="AV8" t="s">
        <v>1</v>
      </c>
      <c r="AW8" t="s">
        <v>1</v>
      </c>
      <c r="AX8" t="s">
        <v>1</v>
      </c>
      <c r="AY8" t="s">
        <v>1</v>
      </c>
      <c r="AZ8" t="s">
        <v>1</v>
      </c>
      <c r="BA8" t="s">
        <v>1</v>
      </c>
      <c r="BB8" t="s">
        <v>1</v>
      </c>
      <c r="BC8" t="s">
        <v>1</v>
      </c>
      <c r="BD8" t="s">
        <v>1</v>
      </c>
      <c r="BE8" t="s">
        <v>1</v>
      </c>
      <c r="BF8" t="s">
        <v>1</v>
      </c>
      <c r="BG8" t="s">
        <v>1</v>
      </c>
    </row>
    <row r="9" spans="1:59" x14ac:dyDescent="0.3">
      <c r="A9" t="str">
        <f t="shared" si="0"/>
        <v>". . . tj-rev-5-4 tj-rev-5-4-u tj-rev-5-4-u tj-rev-5-4-u tj-rev-5-4-u tj-rev-5-4-u tj-rev-5-4-u tj-rev-5-4-u tj-rev-5-4-u tj-rev-5-4-u tj-song-2-13a . tj-rev-5-4-up . tj-rev-5-9c tj-rev-5-9c-u tj-rev-5-9c-u tj-rev-5-9c-u tj-rev-5-9c-u tj-rev-5-9c-u tj-isa-21-10 tj-rev-5-9c-u2 tj-rev-5-9c-u2 tj-rev-5-9c-u2 tj-rev-5-9c-u2 tj-rev-5-9c-u2 tj-rev-5-9c-u2 tj-rev-5-9c-u2 tj-rev-5-9c-up . . . . . . . . . . . . . . . . . . . . . . . . ."</v>
      </c>
      <c r="B9" t="s">
        <v>30</v>
      </c>
      <c r="C9" t="s">
        <v>1</v>
      </c>
      <c r="D9" t="s">
        <v>1</v>
      </c>
      <c r="E9" t="s">
        <v>1</v>
      </c>
      <c r="F9" t="s">
        <v>369</v>
      </c>
      <c r="G9" t="s">
        <v>370</v>
      </c>
      <c r="H9" t="s">
        <v>370</v>
      </c>
      <c r="I9" t="s">
        <v>370</v>
      </c>
      <c r="J9" t="s">
        <v>370</v>
      </c>
      <c r="K9" t="s">
        <v>370</v>
      </c>
      <c r="L9" t="s">
        <v>370</v>
      </c>
      <c r="M9" t="s">
        <v>370</v>
      </c>
      <c r="N9" t="s">
        <v>370</v>
      </c>
      <c r="O9" t="s">
        <v>370</v>
      </c>
      <c r="P9" t="s">
        <v>45</v>
      </c>
      <c r="Q9" t="s">
        <v>1</v>
      </c>
      <c r="R9" t="s">
        <v>412</v>
      </c>
      <c r="S9" t="s">
        <v>1</v>
      </c>
      <c r="T9" t="s">
        <v>81</v>
      </c>
      <c r="U9" t="s">
        <v>358</v>
      </c>
      <c r="V9" t="s">
        <v>358</v>
      </c>
      <c r="W9" t="s">
        <v>358</v>
      </c>
      <c r="X9" t="s">
        <v>358</v>
      </c>
      <c r="Y9" t="s">
        <v>358</v>
      </c>
      <c r="Z9" t="s">
        <v>501</v>
      </c>
      <c r="AA9" t="s">
        <v>630</v>
      </c>
      <c r="AB9" t="s">
        <v>630</v>
      </c>
      <c r="AC9" t="s">
        <v>630</v>
      </c>
      <c r="AD9" t="s">
        <v>630</v>
      </c>
      <c r="AE9" t="s">
        <v>630</v>
      </c>
      <c r="AF9" t="s">
        <v>630</v>
      </c>
      <c r="AG9" t="s">
        <v>630</v>
      </c>
      <c r="AH9" t="s">
        <v>631</v>
      </c>
      <c r="AI9" t="s">
        <v>1</v>
      </c>
      <c r="AJ9" t="s">
        <v>1</v>
      </c>
      <c r="AK9" t="s">
        <v>1</v>
      </c>
      <c r="AL9" t="s">
        <v>1</v>
      </c>
      <c r="AM9" t="s">
        <v>1</v>
      </c>
      <c r="AN9" t="s">
        <v>1</v>
      </c>
      <c r="AO9" t="s">
        <v>1</v>
      </c>
      <c r="AP9" t="s">
        <v>1</v>
      </c>
      <c r="AQ9" t="s">
        <v>1</v>
      </c>
      <c r="AR9" t="s">
        <v>1</v>
      </c>
      <c r="AS9" t="s">
        <v>1</v>
      </c>
      <c r="AT9" t="s">
        <v>1</v>
      </c>
      <c r="AU9" t="s">
        <v>1</v>
      </c>
      <c r="AV9" t="s">
        <v>1</v>
      </c>
      <c r="AW9" t="s">
        <v>1</v>
      </c>
      <c r="AX9" t="s">
        <v>1</v>
      </c>
      <c r="AY9" t="s">
        <v>1</v>
      </c>
      <c r="AZ9" t="s">
        <v>1</v>
      </c>
      <c r="BA9" t="s">
        <v>1</v>
      </c>
      <c r="BB9" t="s">
        <v>1</v>
      </c>
      <c r="BC9" t="s">
        <v>1</v>
      </c>
      <c r="BD9" t="s">
        <v>1</v>
      </c>
      <c r="BE9" t="s">
        <v>1</v>
      </c>
      <c r="BF9" t="s">
        <v>1</v>
      </c>
      <c r="BG9" t="s">
        <v>1</v>
      </c>
    </row>
    <row r="10" spans="1:59" x14ac:dyDescent="0.3">
      <c r="A10" t="str">
        <f t="shared" si="0"/>
        <v>". . . tj-seal-1 . tj-seal-2 . tj-seal-3 . tj-seal-4 . tj-seal-5 . tj-rev-6-16 . tj-rev-7-1 . tj-rev-7-9 tj-rev-7-9-u tj-rev-7-9-u tj-rev-7-9-u tj-rev-7-9-u tj-rev-7-9-u tj-rev-7-9-u tj-rev-7-9-u tj-rev-7-9-u tj-rev-7-9-u tj-rev-7-9-u tj-rev-7-9-u tj-rev-7-9-up . . . . . . . . . . . . . . . . . . . . . . . . . . ."</v>
      </c>
      <c r="B10" t="s">
        <v>30</v>
      </c>
      <c r="C10" t="s">
        <v>1</v>
      </c>
      <c r="D10" t="s">
        <v>1</v>
      </c>
      <c r="E10" t="s">
        <v>1</v>
      </c>
      <c r="F10" t="s">
        <v>80</v>
      </c>
      <c r="G10" t="s">
        <v>1</v>
      </c>
      <c r="H10" t="s">
        <v>79</v>
      </c>
      <c r="I10" t="s">
        <v>1</v>
      </c>
      <c r="J10" t="s">
        <v>78</v>
      </c>
      <c r="K10" t="s">
        <v>1</v>
      </c>
      <c r="L10" t="s">
        <v>77</v>
      </c>
      <c r="M10" t="s">
        <v>1</v>
      </c>
      <c r="N10" t="s">
        <v>76</v>
      </c>
      <c r="O10" t="s">
        <v>1</v>
      </c>
      <c r="P10" t="s">
        <v>75</v>
      </c>
      <c r="Q10" t="s">
        <v>1</v>
      </c>
      <c r="R10" t="s">
        <v>74</v>
      </c>
      <c r="S10" t="s">
        <v>1</v>
      </c>
      <c r="T10" t="s">
        <v>73</v>
      </c>
      <c r="U10" t="s">
        <v>363</v>
      </c>
      <c r="V10" t="s">
        <v>363</v>
      </c>
      <c r="W10" t="s">
        <v>363</v>
      </c>
      <c r="X10" t="s">
        <v>363</v>
      </c>
      <c r="Y10" t="s">
        <v>363</v>
      </c>
      <c r="Z10" t="s">
        <v>363</v>
      </c>
      <c r="AA10" t="s">
        <v>363</v>
      </c>
      <c r="AB10" t="s">
        <v>363</v>
      </c>
      <c r="AC10" t="s">
        <v>363</v>
      </c>
      <c r="AD10" t="s">
        <v>363</v>
      </c>
      <c r="AE10" t="s">
        <v>363</v>
      </c>
      <c r="AF10" t="s">
        <v>628</v>
      </c>
      <c r="AG10" t="s">
        <v>1</v>
      </c>
      <c r="AH10" t="s">
        <v>1</v>
      </c>
      <c r="AI10" t="s">
        <v>1</v>
      </c>
      <c r="AJ10" t="s">
        <v>1</v>
      </c>
      <c r="AK10" t="s">
        <v>1</v>
      </c>
      <c r="AL10" t="s">
        <v>1</v>
      </c>
      <c r="AM10" t="s">
        <v>1</v>
      </c>
      <c r="AN10" t="s">
        <v>1</v>
      </c>
      <c r="AO10" t="s">
        <v>1</v>
      </c>
      <c r="AP10" t="s">
        <v>1</v>
      </c>
      <c r="AQ10" t="s">
        <v>1</v>
      </c>
      <c r="AR10" t="s">
        <v>1</v>
      </c>
      <c r="AS10" t="s">
        <v>1</v>
      </c>
      <c r="AT10" t="s">
        <v>1</v>
      </c>
      <c r="AU10" t="s">
        <v>1</v>
      </c>
      <c r="AV10" t="s">
        <v>1</v>
      </c>
      <c r="AW10" t="s">
        <v>1</v>
      </c>
      <c r="AX10" t="s">
        <v>1</v>
      </c>
      <c r="AY10" t="s">
        <v>1</v>
      </c>
      <c r="AZ10" t="s">
        <v>1</v>
      </c>
      <c r="BA10" t="s">
        <v>1</v>
      </c>
      <c r="BB10" t="s">
        <v>1</v>
      </c>
      <c r="BC10" t="s">
        <v>1</v>
      </c>
      <c r="BD10" t="s">
        <v>1</v>
      </c>
      <c r="BE10" t="s">
        <v>1</v>
      </c>
      <c r="BF10" t="s">
        <v>1</v>
      </c>
      <c r="BG10" t="s">
        <v>1</v>
      </c>
    </row>
    <row r="11" spans="1:59" x14ac:dyDescent="0.3">
      <c r="A11" t="str">
        <f t="shared" si="0"/>
        <v>". . . tj-zec-1-7-s . tj-zec-1-7-e . tj-job-5-19-s . . . tj-mat-24-29a-s . tj-mat-24-30b . . . tj-rev-8-6 . tj-rev-8-7 . tj-rev-8-8 . tj-rev-8-11 . . . . . . . . . . . . . . . . . . . . . . . . . . . . . . . . ."</v>
      </c>
      <c r="B11" t="s">
        <v>30</v>
      </c>
      <c r="C11" t="s">
        <v>1</v>
      </c>
      <c r="D11" t="s">
        <v>1</v>
      </c>
      <c r="E11" t="s">
        <v>1</v>
      </c>
      <c r="F11" t="s">
        <v>413</v>
      </c>
      <c r="G11" t="s">
        <v>1</v>
      </c>
      <c r="H11" t="s">
        <v>414</v>
      </c>
      <c r="I11" t="s">
        <v>1</v>
      </c>
      <c r="J11" t="s">
        <v>72</v>
      </c>
      <c r="K11" t="s">
        <v>1</v>
      </c>
      <c r="L11" t="s">
        <v>1</v>
      </c>
      <c r="M11" t="s">
        <v>1</v>
      </c>
      <c r="N11" t="s">
        <v>71</v>
      </c>
      <c r="O11" t="s">
        <v>1</v>
      </c>
      <c r="P11" t="s">
        <v>70</v>
      </c>
      <c r="Q11" t="s">
        <v>1</v>
      </c>
      <c r="R11" t="s">
        <v>1</v>
      </c>
      <c r="S11" t="s">
        <v>1</v>
      </c>
      <c r="T11" t="s">
        <v>69</v>
      </c>
      <c r="U11" t="s">
        <v>1</v>
      </c>
      <c r="V11" t="s">
        <v>68</v>
      </c>
      <c r="W11" t="s">
        <v>1</v>
      </c>
      <c r="X11" t="s">
        <v>67</v>
      </c>
      <c r="Y11" t="s">
        <v>1</v>
      </c>
      <c r="Z11" t="s">
        <v>513</v>
      </c>
      <c r="AA11" t="s">
        <v>1</v>
      </c>
      <c r="AB11" t="s">
        <v>1</v>
      </c>
      <c r="AC11" t="s">
        <v>1</v>
      </c>
      <c r="AD11" t="s">
        <v>1</v>
      </c>
      <c r="AE11" t="s">
        <v>1</v>
      </c>
      <c r="AF11" t="s">
        <v>1</v>
      </c>
      <c r="AG11" t="s">
        <v>1</v>
      </c>
      <c r="AH11" t="s">
        <v>1</v>
      </c>
      <c r="AI11" t="s">
        <v>1</v>
      </c>
      <c r="AJ11" t="s">
        <v>1</v>
      </c>
      <c r="AK11" t="s">
        <v>1</v>
      </c>
      <c r="AL11" t="s">
        <v>1</v>
      </c>
      <c r="AM11" t="s">
        <v>1</v>
      </c>
      <c r="AN11" t="s">
        <v>1</v>
      </c>
      <c r="AO11" t="s">
        <v>1</v>
      </c>
      <c r="AP11" t="s">
        <v>1</v>
      </c>
      <c r="AQ11" t="s">
        <v>1</v>
      </c>
      <c r="AR11" t="s">
        <v>1</v>
      </c>
      <c r="AS11" t="s">
        <v>1</v>
      </c>
      <c r="AT11" t="s">
        <v>1</v>
      </c>
      <c r="AU11" t="s">
        <v>1</v>
      </c>
      <c r="AV11" t="s">
        <v>1</v>
      </c>
      <c r="AW11" t="s">
        <v>1</v>
      </c>
      <c r="AX11" t="s">
        <v>1</v>
      </c>
      <c r="AY11" t="s">
        <v>1</v>
      </c>
      <c r="AZ11" t="s">
        <v>1</v>
      </c>
      <c r="BA11" t="s">
        <v>1</v>
      </c>
      <c r="BB11" t="s">
        <v>1</v>
      </c>
      <c r="BC11" t="s">
        <v>1</v>
      </c>
      <c r="BD11" t="s">
        <v>1</v>
      </c>
      <c r="BE11" t="s">
        <v>1</v>
      </c>
      <c r="BF11" t="s">
        <v>1</v>
      </c>
      <c r="BG11" t="s">
        <v>1</v>
      </c>
    </row>
    <row r="12" spans="1:59" x14ac:dyDescent="0.3">
      <c r="A12" t="str">
        <f t="shared" si="0"/>
        <v>". . . . . . . . . . . tj-mrk-13-24a-s . tj-mark-13-26 . . . tj-rev-10-5 . tj-rev-10-6b . tj-rev-10-6c tj-rev-10-6c-u tj-rev-10-6c-u tj-rev-10-6c-u tj-mark-13-8a tj-rev-10-6c-u2 tj-rev-10-6c-u2 tj-rev-10-6c-u2 tj-rev-10-6c-u2 tj-rev-10-6c-u2 tj-rev-10-6c-up . . . . . . . . . . . . . . . . . . . . . . . . ."</v>
      </c>
      <c r="B12" t="s">
        <v>30</v>
      </c>
      <c r="C12" t="s">
        <v>1</v>
      </c>
      <c r="D12" t="s">
        <v>1</v>
      </c>
      <c r="E12" t="s">
        <v>1</v>
      </c>
      <c r="F12" t="s">
        <v>1</v>
      </c>
      <c r="G12" t="s">
        <v>1</v>
      </c>
      <c r="H12" t="s">
        <v>1</v>
      </c>
      <c r="I12" t="s">
        <v>1</v>
      </c>
      <c r="J12" t="s">
        <v>1</v>
      </c>
      <c r="K12" t="s">
        <v>1</v>
      </c>
      <c r="L12" t="s">
        <v>1</v>
      </c>
      <c r="M12" t="s">
        <v>1</v>
      </c>
      <c r="N12" t="s">
        <v>66</v>
      </c>
      <c r="O12" t="s">
        <v>1</v>
      </c>
      <c r="P12" t="s">
        <v>65</v>
      </c>
      <c r="Q12" t="s">
        <v>1</v>
      </c>
      <c r="R12" t="s">
        <v>1</v>
      </c>
      <c r="S12" t="s">
        <v>1</v>
      </c>
      <c r="T12" t="s">
        <v>64</v>
      </c>
      <c r="U12" t="s">
        <v>1</v>
      </c>
      <c r="V12" t="s">
        <v>63</v>
      </c>
      <c r="W12" t="s">
        <v>1</v>
      </c>
      <c r="X12" t="s">
        <v>62</v>
      </c>
      <c r="Y12" t="s">
        <v>410</v>
      </c>
      <c r="Z12" t="s">
        <v>410</v>
      </c>
      <c r="AA12" t="s">
        <v>410</v>
      </c>
      <c r="AB12" t="s">
        <v>558</v>
      </c>
      <c r="AC12" t="s">
        <v>632</v>
      </c>
      <c r="AD12" t="s">
        <v>632</v>
      </c>
      <c r="AE12" t="s">
        <v>632</v>
      </c>
      <c r="AF12" t="s">
        <v>632</v>
      </c>
      <c r="AG12" t="s">
        <v>632</v>
      </c>
      <c r="AH12" t="s">
        <v>633</v>
      </c>
      <c r="AI12" t="s">
        <v>1</v>
      </c>
      <c r="AJ12" t="s">
        <v>1</v>
      </c>
      <c r="AK12" t="s">
        <v>1</v>
      </c>
      <c r="AL12" t="s">
        <v>1</v>
      </c>
      <c r="AM12" t="s">
        <v>1</v>
      </c>
      <c r="AN12" t="s">
        <v>1</v>
      </c>
      <c r="AO12" t="s">
        <v>1</v>
      </c>
      <c r="AP12" t="s">
        <v>1</v>
      </c>
      <c r="AQ12" t="s">
        <v>1</v>
      </c>
      <c r="AR12" t="s">
        <v>1</v>
      </c>
      <c r="AS12" t="s">
        <v>1</v>
      </c>
      <c r="AT12" t="s">
        <v>1</v>
      </c>
      <c r="AU12" t="s">
        <v>1</v>
      </c>
      <c r="AV12" t="s">
        <v>1</v>
      </c>
      <c r="AW12" t="s">
        <v>1</v>
      </c>
      <c r="AX12" t="s">
        <v>1</v>
      </c>
      <c r="AY12" t="s">
        <v>1</v>
      </c>
      <c r="AZ12" t="s">
        <v>1</v>
      </c>
      <c r="BA12" t="s">
        <v>1</v>
      </c>
      <c r="BB12" t="s">
        <v>1</v>
      </c>
      <c r="BC12" t="s">
        <v>1</v>
      </c>
      <c r="BD12" t="s">
        <v>1</v>
      </c>
      <c r="BE12" t="s">
        <v>1</v>
      </c>
      <c r="BF12" t="s">
        <v>1</v>
      </c>
      <c r="BG12" t="s">
        <v>1</v>
      </c>
    </row>
    <row r="13" spans="1:59" x14ac:dyDescent="0.3">
      <c r="A13" t="str">
        <f t="shared" si="0"/>
        <v>". . . . . . . . . . . . . tj-luke-21-26b . . . tj-rev-14-7a . tj-rev-14-7b . tj-rev-14-7c . tj-rev-14-8b . tj-rev-14-10 . . . . . . . . . . . . . . . . . . . . . . . . . . . . . . ."</v>
      </c>
      <c r="B13" t="s">
        <v>30</v>
      </c>
      <c r="C13" t="s">
        <v>1</v>
      </c>
      <c r="D13" t="s">
        <v>1</v>
      </c>
      <c r="E13" t="s">
        <v>1</v>
      </c>
      <c r="F13" t="s">
        <v>1</v>
      </c>
      <c r="G13" t="s">
        <v>1</v>
      </c>
      <c r="H13" t="s">
        <v>1</v>
      </c>
      <c r="I13" t="s">
        <v>1</v>
      </c>
      <c r="J13" t="s">
        <v>1</v>
      </c>
      <c r="K13" t="s">
        <v>1</v>
      </c>
      <c r="L13" t="s">
        <v>1</v>
      </c>
      <c r="M13" t="s">
        <v>1</v>
      </c>
      <c r="N13" t="s">
        <v>1</v>
      </c>
      <c r="O13" t="s">
        <v>1</v>
      </c>
      <c r="P13" t="s">
        <v>61</v>
      </c>
      <c r="Q13" t="s">
        <v>1</v>
      </c>
      <c r="R13" t="s">
        <v>1</v>
      </c>
      <c r="S13" t="s">
        <v>1</v>
      </c>
      <c r="T13" t="s">
        <v>60</v>
      </c>
      <c r="U13" t="s">
        <v>1</v>
      </c>
      <c r="V13" t="s">
        <v>59</v>
      </c>
      <c r="W13" t="s">
        <v>1</v>
      </c>
      <c r="X13" t="s">
        <v>58</v>
      </c>
      <c r="Y13" t="s">
        <v>1</v>
      </c>
      <c r="Z13" t="s">
        <v>514</v>
      </c>
      <c r="AA13" t="s">
        <v>1</v>
      </c>
      <c r="AB13" t="s">
        <v>566</v>
      </c>
      <c r="AC13" t="s">
        <v>1</v>
      </c>
      <c r="AD13" t="s">
        <v>1</v>
      </c>
      <c r="AE13" t="s">
        <v>1</v>
      </c>
      <c r="AF13" t="s">
        <v>1</v>
      </c>
      <c r="AG13" t="s">
        <v>1</v>
      </c>
      <c r="AH13" t="s">
        <v>1</v>
      </c>
      <c r="AI13" t="s">
        <v>1</v>
      </c>
      <c r="AJ13" t="s">
        <v>1</v>
      </c>
      <c r="AK13" t="s">
        <v>1</v>
      </c>
      <c r="AL13" t="s">
        <v>1</v>
      </c>
      <c r="AM13" t="s">
        <v>1</v>
      </c>
      <c r="AN13" t="s">
        <v>1</v>
      </c>
      <c r="AO13" t="s">
        <v>1</v>
      </c>
      <c r="AP13" t="s">
        <v>1</v>
      </c>
      <c r="AQ13" t="s">
        <v>1</v>
      </c>
      <c r="AR13" t="s">
        <v>1</v>
      </c>
      <c r="AS13" t="s">
        <v>1</v>
      </c>
      <c r="AT13" t="s">
        <v>1</v>
      </c>
      <c r="AU13" t="s">
        <v>1</v>
      </c>
      <c r="AV13" t="s">
        <v>1</v>
      </c>
      <c r="AW13" t="s">
        <v>1</v>
      </c>
      <c r="AX13" t="s">
        <v>1</v>
      </c>
      <c r="AY13" t="s">
        <v>1</v>
      </c>
      <c r="AZ13" t="s">
        <v>1</v>
      </c>
      <c r="BA13" t="s">
        <v>1</v>
      </c>
      <c r="BB13" t="s">
        <v>1</v>
      </c>
      <c r="BC13" t="s">
        <v>1</v>
      </c>
      <c r="BD13" t="s">
        <v>1</v>
      </c>
      <c r="BE13" t="s">
        <v>1</v>
      </c>
      <c r="BF13" t="s">
        <v>1</v>
      </c>
      <c r="BG13" t="s">
        <v>1</v>
      </c>
    </row>
    <row r="14" spans="1:59" x14ac:dyDescent="0.3">
      <c r="A14" t="str">
        <f t="shared" si="0"/>
        <v>". . . tj-dan-12-1 . tj-dan-12-1b tj-dan-12-1b-u tj-dan-12-1b-u tj-dan-12-1b-u tj-dan-12-1b-u tj-dan-12-1b-u tj-dan-12-1b-u tj-dan-12-1b-u tj-dan-12-1b-up . tj-dan-12-2 . tj-dan-12-7a . tj-dan-12-7b . tj-dan-12-9 tj-dan-12-9-u tj-dan-12-9-u tj-dan-12-9-u tj-dan-12-9-up . . . . . . . . . . . . . . . . . . . . . . . . . . . . . . ."</v>
      </c>
      <c r="B14" t="s">
        <v>30</v>
      </c>
      <c r="C14" t="s">
        <v>1</v>
      </c>
      <c r="D14" t="s">
        <v>1</v>
      </c>
      <c r="E14" t="s">
        <v>1</v>
      </c>
      <c r="F14" t="s">
        <v>399</v>
      </c>
      <c r="G14" t="s">
        <v>1</v>
      </c>
      <c r="H14" t="s">
        <v>400</v>
      </c>
      <c r="I14" t="s">
        <v>401</v>
      </c>
      <c r="J14" t="s">
        <v>401</v>
      </c>
      <c r="K14" t="s">
        <v>401</v>
      </c>
      <c r="L14" t="s">
        <v>401</v>
      </c>
      <c r="M14" t="s">
        <v>401</v>
      </c>
      <c r="N14" t="s">
        <v>401</v>
      </c>
      <c r="O14" t="s">
        <v>401</v>
      </c>
      <c r="P14" t="s">
        <v>402</v>
      </c>
      <c r="Q14" t="s">
        <v>1</v>
      </c>
      <c r="R14" t="s">
        <v>397</v>
      </c>
      <c r="S14" t="s">
        <v>1</v>
      </c>
      <c r="T14" t="s">
        <v>387</v>
      </c>
      <c r="U14" t="s">
        <v>1</v>
      </c>
      <c r="V14" t="s">
        <v>57</v>
      </c>
      <c r="W14" t="s">
        <v>1</v>
      </c>
      <c r="X14" t="s">
        <v>565</v>
      </c>
      <c r="Y14" t="s">
        <v>515</v>
      </c>
      <c r="Z14" t="s">
        <v>515</v>
      </c>
      <c r="AA14" t="s">
        <v>515</v>
      </c>
      <c r="AB14" t="s">
        <v>524</v>
      </c>
      <c r="AC14" t="s">
        <v>1</v>
      </c>
      <c r="AD14" t="s">
        <v>1</v>
      </c>
      <c r="AE14" t="s">
        <v>1</v>
      </c>
      <c r="AF14" t="s">
        <v>1</v>
      </c>
      <c r="AG14" t="s">
        <v>1</v>
      </c>
      <c r="AH14" t="s">
        <v>1</v>
      </c>
      <c r="AI14" t="s">
        <v>1</v>
      </c>
      <c r="AJ14" t="s">
        <v>1</v>
      </c>
      <c r="AK14" t="s">
        <v>1</v>
      </c>
      <c r="AL14" t="s">
        <v>1</v>
      </c>
      <c r="AM14" t="s">
        <v>1</v>
      </c>
      <c r="AN14" t="s">
        <v>1</v>
      </c>
      <c r="AO14" t="s">
        <v>1</v>
      </c>
      <c r="AP14" t="s">
        <v>1</v>
      </c>
      <c r="AQ14" t="s">
        <v>1</v>
      </c>
      <c r="AR14" t="s">
        <v>1</v>
      </c>
      <c r="AS14" t="s">
        <v>1</v>
      </c>
      <c r="AT14" t="s">
        <v>1</v>
      </c>
      <c r="AU14" t="s">
        <v>1</v>
      </c>
      <c r="AV14" t="s">
        <v>1</v>
      </c>
      <c r="AW14" t="s">
        <v>1</v>
      </c>
      <c r="AX14" t="s">
        <v>1</v>
      </c>
      <c r="AY14" t="s">
        <v>1</v>
      </c>
      <c r="AZ14" t="s">
        <v>1</v>
      </c>
      <c r="BA14" t="s">
        <v>1</v>
      </c>
      <c r="BB14" t="s">
        <v>1</v>
      </c>
      <c r="BC14" t="s">
        <v>1</v>
      </c>
      <c r="BD14" t="s">
        <v>1</v>
      </c>
      <c r="BE14" t="s">
        <v>1</v>
      </c>
      <c r="BF14" t="s">
        <v>1</v>
      </c>
      <c r="BG14" t="s">
        <v>1</v>
      </c>
    </row>
    <row r="15" spans="1:59" x14ac:dyDescent="0.3">
      <c r="A15" t="str">
        <f t="shared" si="0"/>
        <v>". . . . . . . . . . . . . . . tj-rev-11-1 . tj-rev-11-1-up . tj-rev-11-6a . tj-rev-11-6c tj-rev-11-6c-u tj-rev-11-6c-u tj-rev-11-6c-u tj-luke-21-11a tj-rev-11-6c-u2 tj-rev-11-6c-u2 tj-rev-11-6c-u2 tj-rev-11-6c-up . . . . . . . . . . . . . . . . . . . . . . . . . . ."</v>
      </c>
      <c r="B15" t="s">
        <v>30</v>
      </c>
      <c r="C15" t="s">
        <v>1</v>
      </c>
      <c r="D15" t="s">
        <v>1</v>
      </c>
      <c r="E15" t="s">
        <v>1</v>
      </c>
      <c r="F15" t="s">
        <v>1</v>
      </c>
      <c r="G15" t="s">
        <v>1</v>
      </c>
      <c r="H15" t="s">
        <v>1</v>
      </c>
      <c r="I15" t="s">
        <v>1</v>
      </c>
      <c r="J15" t="s">
        <v>1</v>
      </c>
      <c r="K15" t="s">
        <v>1</v>
      </c>
      <c r="L15" t="s">
        <v>1</v>
      </c>
      <c r="M15" t="s">
        <v>1</v>
      </c>
      <c r="N15" t="s">
        <v>1</v>
      </c>
      <c r="O15" t="s">
        <v>1</v>
      </c>
      <c r="P15" t="s">
        <v>1</v>
      </c>
      <c r="Q15" t="s">
        <v>1</v>
      </c>
      <c r="R15" t="s">
        <v>55</v>
      </c>
      <c r="S15" t="s">
        <v>1</v>
      </c>
      <c r="T15" t="s">
        <v>362</v>
      </c>
      <c r="U15" t="s">
        <v>1</v>
      </c>
      <c r="V15" t="s">
        <v>54</v>
      </c>
      <c r="W15" t="s">
        <v>1</v>
      </c>
      <c r="X15" t="s">
        <v>53</v>
      </c>
      <c r="Y15" t="s">
        <v>411</v>
      </c>
      <c r="Z15" t="s">
        <v>411</v>
      </c>
      <c r="AA15" t="s">
        <v>411</v>
      </c>
      <c r="AB15" t="s">
        <v>578</v>
      </c>
      <c r="AC15" t="s">
        <v>634</v>
      </c>
      <c r="AD15" t="s">
        <v>634</v>
      </c>
      <c r="AE15" t="s">
        <v>634</v>
      </c>
      <c r="AF15" t="s">
        <v>635</v>
      </c>
      <c r="AG15" t="s">
        <v>1</v>
      </c>
      <c r="AH15" t="s">
        <v>1</v>
      </c>
      <c r="AI15" t="s">
        <v>1</v>
      </c>
      <c r="AJ15" t="s">
        <v>1</v>
      </c>
      <c r="AK15" t="s">
        <v>1</v>
      </c>
      <c r="AL15" t="s">
        <v>1</v>
      </c>
      <c r="AM15" t="s">
        <v>1</v>
      </c>
      <c r="AN15" t="s">
        <v>1</v>
      </c>
      <c r="AO15" t="s">
        <v>1</v>
      </c>
      <c r="AP15" t="s">
        <v>1</v>
      </c>
      <c r="AQ15" t="s">
        <v>1</v>
      </c>
      <c r="AR15" t="s">
        <v>1</v>
      </c>
      <c r="AS15" t="s">
        <v>1</v>
      </c>
      <c r="AT15" t="s">
        <v>1</v>
      </c>
      <c r="AU15" t="s">
        <v>1</v>
      </c>
      <c r="AV15" t="s">
        <v>1</v>
      </c>
      <c r="AW15" t="s">
        <v>1</v>
      </c>
      <c r="AX15" t="s">
        <v>1</v>
      </c>
      <c r="AY15" t="s">
        <v>1</v>
      </c>
      <c r="AZ15" t="s">
        <v>1</v>
      </c>
      <c r="BA15" t="s">
        <v>1</v>
      </c>
      <c r="BB15" t="s">
        <v>1</v>
      </c>
      <c r="BC15" t="s">
        <v>1</v>
      </c>
      <c r="BD15" t="s">
        <v>1</v>
      </c>
      <c r="BE15" t="s">
        <v>1</v>
      </c>
      <c r="BF15" t="s">
        <v>1</v>
      </c>
      <c r="BG15" t="s">
        <v>1</v>
      </c>
    </row>
    <row r="16" spans="1:59" x14ac:dyDescent="0.3">
      <c r="A16" t="str">
        <f t="shared" si="0"/>
        <v>". . . . . . . . . . . . . . . . . tj-rev-13-5a . tj-rev-13-5b . tj-gad-2-26 . tj-rev-13-5b-u tj-rev-13-5b-u tj-enoch-76-8 . . . . . . . . . . . . . . . . . . . . . . . . . . . . . . ."</v>
      </c>
      <c r="B16" t="s">
        <v>30</v>
      </c>
      <c r="C16" t="s">
        <v>1</v>
      </c>
      <c r="D16" t="s">
        <v>1</v>
      </c>
      <c r="E16" t="s">
        <v>1</v>
      </c>
      <c r="F16" t="s">
        <v>1</v>
      </c>
      <c r="G16" t="s">
        <v>1</v>
      </c>
      <c r="H16" t="s">
        <v>1</v>
      </c>
      <c r="I16" t="s">
        <v>1</v>
      </c>
      <c r="J16" t="s">
        <v>1</v>
      </c>
      <c r="K16" t="s">
        <v>1</v>
      </c>
      <c r="L16" t="s">
        <v>1</v>
      </c>
      <c r="M16" t="s">
        <v>1</v>
      </c>
      <c r="N16" t="s">
        <v>1</v>
      </c>
      <c r="O16" t="s">
        <v>1</v>
      </c>
      <c r="P16" t="s">
        <v>1</v>
      </c>
      <c r="Q16" t="s">
        <v>1</v>
      </c>
      <c r="R16" t="s">
        <v>1</v>
      </c>
      <c r="S16" t="s">
        <v>1</v>
      </c>
      <c r="T16" t="s">
        <v>52</v>
      </c>
      <c r="U16" t="s">
        <v>1</v>
      </c>
      <c r="V16" t="s">
        <v>51</v>
      </c>
      <c r="W16" t="s">
        <v>1</v>
      </c>
      <c r="X16" t="s">
        <v>56</v>
      </c>
      <c r="Y16" t="s">
        <v>1</v>
      </c>
      <c r="Z16" t="s">
        <v>629</v>
      </c>
      <c r="AA16" t="s">
        <v>629</v>
      </c>
      <c r="AB16" t="s">
        <v>579</v>
      </c>
      <c r="AC16" t="s">
        <v>1</v>
      </c>
      <c r="AD16" t="s">
        <v>1</v>
      </c>
      <c r="AE16" t="s">
        <v>1</v>
      </c>
      <c r="AF16" t="s">
        <v>1</v>
      </c>
      <c r="AG16" t="s">
        <v>1</v>
      </c>
      <c r="AH16" t="s">
        <v>1</v>
      </c>
      <c r="AI16" t="s">
        <v>1</v>
      </c>
      <c r="AJ16" t="s">
        <v>1</v>
      </c>
      <c r="AK16" t="s">
        <v>1</v>
      </c>
      <c r="AL16" t="s">
        <v>1</v>
      </c>
      <c r="AM16" t="s">
        <v>1</v>
      </c>
      <c r="AN16" t="s">
        <v>1</v>
      </c>
      <c r="AO16" t="s">
        <v>1</v>
      </c>
      <c r="AP16" t="s">
        <v>1</v>
      </c>
      <c r="AQ16" t="s">
        <v>1</v>
      </c>
      <c r="AR16" t="s">
        <v>1</v>
      </c>
      <c r="AS16" t="s">
        <v>1</v>
      </c>
      <c r="AT16" t="s">
        <v>1</v>
      </c>
      <c r="AU16" t="s">
        <v>1</v>
      </c>
      <c r="AV16" t="s">
        <v>1</v>
      </c>
      <c r="AW16" t="s">
        <v>1</v>
      </c>
      <c r="AX16" t="s">
        <v>1</v>
      </c>
      <c r="AY16" t="s">
        <v>1</v>
      </c>
      <c r="AZ16" t="s">
        <v>1</v>
      </c>
      <c r="BA16" t="s">
        <v>1</v>
      </c>
      <c r="BB16" t="s">
        <v>1</v>
      </c>
      <c r="BC16" t="s">
        <v>1</v>
      </c>
      <c r="BD16" t="s">
        <v>1</v>
      </c>
      <c r="BE16" t="s">
        <v>1</v>
      </c>
      <c r="BF16" t="s">
        <v>1</v>
      </c>
      <c r="BG16" t="s">
        <v>1</v>
      </c>
    </row>
    <row r="17" spans="1:59" x14ac:dyDescent="0.3">
      <c r="A17" t="str">
        <f t="shared" si="0"/>
        <v>". . . . . . . . . . . . . tj-rev-4-2 . tj-rev-4-3 . tj-rev-4-5 . tj-enoch-80-2b . tj-enoch-80-3-u . tj-enoch-80-3-up . . . . . . . . . . . . . . . . . . . . . . . . . . . . . . . . ."</v>
      </c>
      <c r="B17" t="s">
        <v>30</v>
      </c>
      <c r="C17" t="s">
        <v>1</v>
      </c>
      <c r="D17" t="s">
        <v>1</v>
      </c>
      <c r="E17" t="s">
        <v>1</v>
      </c>
      <c r="F17" t="s">
        <v>1</v>
      </c>
      <c r="G17" t="s">
        <v>1</v>
      </c>
      <c r="H17" t="s">
        <v>1</v>
      </c>
      <c r="I17" t="s">
        <v>1</v>
      </c>
      <c r="J17" t="s">
        <v>1</v>
      </c>
      <c r="K17" t="s">
        <v>1</v>
      </c>
      <c r="L17" t="s">
        <v>1</v>
      </c>
      <c r="M17" t="s">
        <v>1</v>
      </c>
      <c r="N17" t="s">
        <v>1</v>
      </c>
      <c r="O17" t="s">
        <v>1</v>
      </c>
      <c r="P17" t="s">
        <v>50</v>
      </c>
      <c r="Q17" t="s">
        <v>1</v>
      </c>
      <c r="R17" t="s">
        <v>49</v>
      </c>
      <c r="S17" t="s">
        <v>1</v>
      </c>
      <c r="T17" t="s">
        <v>48</v>
      </c>
      <c r="U17" t="s">
        <v>1</v>
      </c>
      <c r="V17" t="s">
        <v>31</v>
      </c>
      <c r="W17" t="s">
        <v>1</v>
      </c>
      <c r="X17" t="s">
        <v>522</v>
      </c>
      <c r="Y17" t="s">
        <v>1</v>
      </c>
      <c r="Z17" t="s">
        <v>523</v>
      </c>
      <c r="AA17" t="s">
        <v>1</v>
      </c>
      <c r="AB17" t="s">
        <v>1</v>
      </c>
      <c r="AC17" t="s">
        <v>1</v>
      </c>
      <c r="AD17" t="s">
        <v>1</v>
      </c>
      <c r="AE17" t="s">
        <v>1</v>
      </c>
      <c r="AF17" t="s">
        <v>1</v>
      </c>
      <c r="AG17" t="s">
        <v>1</v>
      </c>
      <c r="AH17" t="s">
        <v>1</v>
      </c>
      <c r="AI17" t="s">
        <v>1</v>
      </c>
      <c r="AJ17" t="s">
        <v>1</v>
      </c>
      <c r="AK17" t="s">
        <v>1</v>
      </c>
      <c r="AL17" t="s">
        <v>1</v>
      </c>
      <c r="AM17" t="s">
        <v>1</v>
      </c>
      <c r="AN17" t="s">
        <v>1</v>
      </c>
      <c r="AO17" t="s">
        <v>1</v>
      </c>
      <c r="AP17" t="s">
        <v>1</v>
      </c>
      <c r="AQ17" t="s">
        <v>1</v>
      </c>
      <c r="AR17" t="s">
        <v>1</v>
      </c>
      <c r="AS17" t="s">
        <v>1</v>
      </c>
      <c r="AT17" t="s">
        <v>1</v>
      </c>
      <c r="AU17" t="s">
        <v>1</v>
      </c>
      <c r="AV17" t="s">
        <v>1</v>
      </c>
      <c r="AW17" t="s">
        <v>1</v>
      </c>
      <c r="AX17" t="s">
        <v>1</v>
      </c>
      <c r="AY17" t="s">
        <v>1</v>
      </c>
      <c r="AZ17" t="s">
        <v>1</v>
      </c>
      <c r="BA17" t="s">
        <v>1</v>
      </c>
      <c r="BB17" t="s">
        <v>1</v>
      </c>
      <c r="BC17" t="s">
        <v>1</v>
      </c>
      <c r="BD17" t="s">
        <v>1</v>
      </c>
      <c r="BE17" t="s">
        <v>1</v>
      </c>
      <c r="BF17" t="s">
        <v>1</v>
      </c>
      <c r="BG17" t="s">
        <v>1</v>
      </c>
    </row>
    <row r="18" spans="1:59" x14ac:dyDescent="0.3">
      <c r="A18" t="str">
        <f t="shared" si="0"/>
        <v>". . . . . . . . . . . . . . . . . . . . . . . . . tj-hab-3-2b . . . . . . . . . . . . . . . . . . . . . . . . . . . . . . ."</v>
      </c>
      <c r="B18" t="s">
        <v>30</v>
      </c>
      <c r="C18" t="s">
        <v>1</v>
      </c>
      <c r="D18" t="s">
        <v>1</v>
      </c>
      <c r="E18" t="s">
        <v>1</v>
      </c>
      <c r="F18" t="s">
        <v>1</v>
      </c>
      <c r="G18" t="s">
        <v>1</v>
      </c>
      <c r="H18" t="s">
        <v>1</v>
      </c>
      <c r="I18" t="s">
        <v>1</v>
      </c>
      <c r="J18" t="s">
        <v>1</v>
      </c>
      <c r="K18" t="s">
        <v>1</v>
      </c>
      <c r="L18" t="s">
        <v>1</v>
      </c>
      <c r="M18" t="s">
        <v>1</v>
      </c>
      <c r="N18" t="s">
        <v>1</v>
      </c>
      <c r="O18" t="s">
        <v>1</v>
      </c>
      <c r="P18" t="s">
        <v>1</v>
      </c>
      <c r="Q18" t="s">
        <v>1</v>
      </c>
      <c r="R18" t="s">
        <v>1</v>
      </c>
      <c r="S18" t="s">
        <v>1</v>
      </c>
      <c r="T18" t="s">
        <v>1</v>
      </c>
      <c r="U18" t="s">
        <v>1</v>
      </c>
      <c r="V18" t="s">
        <v>1</v>
      </c>
      <c r="W18" t="s">
        <v>1</v>
      </c>
      <c r="X18" t="s">
        <v>1</v>
      </c>
      <c r="Y18" t="s">
        <v>1</v>
      </c>
      <c r="Z18" t="s">
        <v>1</v>
      </c>
      <c r="AA18" t="s">
        <v>1</v>
      </c>
      <c r="AB18" t="s">
        <v>591</v>
      </c>
      <c r="AC18" t="s">
        <v>1</v>
      </c>
      <c r="AD18" t="s">
        <v>1</v>
      </c>
      <c r="AE18" t="s">
        <v>1</v>
      </c>
      <c r="AF18" t="s">
        <v>1</v>
      </c>
      <c r="AG18" t="s">
        <v>1</v>
      </c>
      <c r="AH18" t="s">
        <v>1</v>
      </c>
      <c r="AI18" t="s">
        <v>1</v>
      </c>
      <c r="AJ18" t="s">
        <v>1</v>
      </c>
      <c r="AK18" t="s">
        <v>1</v>
      </c>
      <c r="AL18" t="s">
        <v>1</v>
      </c>
      <c r="AM18" t="s">
        <v>1</v>
      </c>
      <c r="AN18" t="s">
        <v>1</v>
      </c>
      <c r="AO18" t="s">
        <v>1</v>
      </c>
      <c r="AP18" t="s">
        <v>1</v>
      </c>
      <c r="AQ18" t="s">
        <v>1</v>
      </c>
      <c r="AR18" t="s">
        <v>1</v>
      </c>
      <c r="AS18" t="s">
        <v>1</v>
      </c>
      <c r="AT18" t="s">
        <v>1</v>
      </c>
      <c r="AU18" t="s">
        <v>1</v>
      </c>
      <c r="AV18" t="s">
        <v>1</v>
      </c>
      <c r="AW18" t="s">
        <v>1</v>
      </c>
      <c r="AX18" t="s">
        <v>1</v>
      </c>
      <c r="AY18" t="s">
        <v>1</v>
      </c>
      <c r="AZ18" t="s">
        <v>1</v>
      </c>
      <c r="BA18" t="s">
        <v>1</v>
      </c>
      <c r="BB18" t="s">
        <v>1</v>
      </c>
      <c r="BC18" t="s">
        <v>1</v>
      </c>
      <c r="BD18" t="s">
        <v>1</v>
      </c>
      <c r="BE18" t="s">
        <v>1</v>
      </c>
      <c r="BF18" t="s">
        <v>1</v>
      </c>
      <c r="BG18" t="s">
        <v>1</v>
      </c>
    </row>
    <row r="19" spans="1:59" x14ac:dyDescent="0.3">
      <c r="A19" t="str">
        <f t="shared" si="0"/>
        <v>". . . . . . . . . . . . . . . tj-ba2-30-2a . tj-ba2-30-2c . tj-ba2-30-2c-up . tj-ba2-30-3-u . tj-ba2-30-3-up . tj-mat-24-7b . . . . . . . . . . . . . . . . . . . . . . . . . . . . . . ."</v>
      </c>
      <c r="B19" t="s">
        <v>30</v>
      </c>
      <c r="C19" t="s">
        <v>1</v>
      </c>
      <c r="D19" t="s">
        <v>1</v>
      </c>
      <c r="E19" t="s">
        <v>1</v>
      </c>
      <c r="F19" t="s">
        <v>1</v>
      </c>
      <c r="G19" t="s">
        <v>1</v>
      </c>
      <c r="H19" t="s">
        <v>1</v>
      </c>
      <c r="I19" t="s">
        <v>1</v>
      </c>
      <c r="J19" t="s">
        <v>1</v>
      </c>
      <c r="K19" t="s">
        <v>1</v>
      </c>
      <c r="L19" t="s">
        <v>1</v>
      </c>
      <c r="M19" t="s">
        <v>1</v>
      </c>
      <c r="N19" t="s">
        <v>1</v>
      </c>
      <c r="O19" t="s">
        <v>1</v>
      </c>
      <c r="P19" t="s">
        <v>1</v>
      </c>
      <c r="Q19" t="s">
        <v>1</v>
      </c>
      <c r="R19" t="s">
        <v>47</v>
      </c>
      <c r="S19" t="s">
        <v>1</v>
      </c>
      <c r="T19" t="s">
        <v>46</v>
      </c>
      <c r="U19" t="s">
        <v>1</v>
      </c>
      <c r="V19" t="s">
        <v>364</v>
      </c>
      <c r="W19" t="s">
        <v>1</v>
      </c>
      <c r="X19" t="s">
        <v>525</v>
      </c>
      <c r="Y19" t="s">
        <v>1</v>
      </c>
      <c r="Z19" t="s">
        <v>526</v>
      </c>
      <c r="AA19" t="s">
        <v>1</v>
      </c>
      <c r="AB19" t="s">
        <v>597</v>
      </c>
      <c r="AC19" t="s">
        <v>1</v>
      </c>
      <c r="AD19" t="s">
        <v>1</v>
      </c>
      <c r="AE19" t="s">
        <v>1</v>
      </c>
      <c r="AF19" t="s">
        <v>1</v>
      </c>
      <c r="AG19" t="s">
        <v>1</v>
      </c>
      <c r="AH19" t="s">
        <v>1</v>
      </c>
      <c r="AI19" t="s">
        <v>1</v>
      </c>
      <c r="AJ19" t="s">
        <v>1</v>
      </c>
      <c r="AK19" t="s">
        <v>1</v>
      </c>
      <c r="AL19" t="s">
        <v>1</v>
      </c>
      <c r="AM19" t="s">
        <v>1</v>
      </c>
      <c r="AN19" t="s">
        <v>1</v>
      </c>
      <c r="AO19" t="s">
        <v>1</v>
      </c>
      <c r="AP19" t="s">
        <v>1</v>
      </c>
      <c r="AQ19" t="s">
        <v>1</v>
      </c>
      <c r="AR19" t="s">
        <v>1</v>
      </c>
      <c r="AS19" t="s">
        <v>1</v>
      </c>
      <c r="AT19" t="s">
        <v>1</v>
      </c>
      <c r="AU19" t="s">
        <v>1</v>
      </c>
      <c r="AV19" t="s">
        <v>1</v>
      </c>
      <c r="AW19" t="s">
        <v>1</v>
      </c>
      <c r="AX19" t="s">
        <v>1</v>
      </c>
      <c r="AY19" t="s">
        <v>1</v>
      </c>
      <c r="AZ19" t="s">
        <v>1</v>
      </c>
      <c r="BA19" t="s">
        <v>1</v>
      </c>
      <c r="BB19" t="s">
        <v>1</v>
      </c>
      <c r="BC19" t="s">
        <v>1</v>
      </c>
      <c r="BD19" t="s">
        <v>1</v>
      </c>
      <c r="BE19" t="s">
        <v>1</v>
      </c>
      <c r="BF19" t="s">
        <v>1</v>
      </c>
      <c r="BG19" t="s">
        <v>1</v>
      </c>
    </row>
    <row r="20" spans="1:59" x14ac:dyDescent="0.3">
      <c r="A20" t="str">
        <f t="shared" si="0"/>
        <v>". . . . . . . tj-deu-32-20-s . tj-deu-32-20 . tj-deu-32-21 tj-deu-32-21-u tj-deu-32-21-u tj-deu-32-21-u tj-deu-32-21-u tj-deu-32-21-u tj-deu-32-21-up . tj-deu-32-23-e . tj-ascisa-4-1 . tj-ascisa-4-4 . tj-ascisa-4-5 tj-ascisa-4-5-u tj-ascisa-4-5-u tj-ascisa-4-5-u tj-ascisa-4-5-up . . . . . . . . . . . . . . . . . . . . . . . . . . ."</v>
      </c>
      <c r="B20" t="s">
        <v>30</v>
      </c>
      <c r="C20" t="s">
        <v>1</v>
      </c>
      <c r="D20" t="s">
        <v>1</v>
      </c>
      <c r="E20" t="s">
        <v>1</v>
      </c>
      <c r="F20" t="s">
        <v>1</v>
      </c>
      <c r="G20" t="s">
        <v>1</v>
      </c>
      <c r="H20" t="s">
        <v>1</v>
      </c>
      <c r="I20" t="s">
        <v>1</v>
      </c>
      <c r="J20" t="s">
        <v>438</v>
      </c>
      <c r="K20" t="s">
        <v>1</v>
      </c>
      <c r="L20" t="s">
        <v>439</v>
      </c>
      <c r="M20" t="s">
        <v>1</v>
      </c>
      <c r="N20" t="s">
        <v>445</v>
      </c>
      <c r="O20" t="s">
        <v>446</v>
      </c>
      <c r="P20" t="s">
        <v>446</v>
      </c>
      <c r="Q20" t="s">
        <v>446</v>
      </c>
      <c r="R20" t="s">
        <v>446</v>
      </c>
      <c r="S20" t="s">
        <v>446</v>
      </c>
      <c r="T20" t="s">
        <v>447</v>
      </c>
      <c r="U20" t="s">
        <v>1</v>
      </c>
      <c r="V20" t="s">
        <v>451</v>
      </c>
      <c r="W20" t="s">
        <v>1</v>
      </c>
      <c r="X20" t="s">
        <v>480</v>
      </c>
      <c r="Y20" t="s">
        <v>1</v>
      </c>
      <c r="Z20" t="s">
        <v>527</v>
      </c>
      <c r="AA20" t="s">
        <v>1</v>
      </c>
      <c r="AB20" t="s">
        <v>598</v>
      </c>
      <c r="AC20" t="s">
        <v>599</v>
      </c>
      <c r="AD20" t="s">
        <v>599</v>
      </c>
      <c r="AE20" t="s">
        <v>599</v>
      </c>
      <c r="AF20" t="s">
        <v>600</v>
      </c>
      <c r="AG20" t="s">
        <v>1</v>
      </c>
      <c r="AH20" t="s">
        <v>1</v>
      </c>
      <c r="AI20" t="s">
        <v>1</v>
      </c>
      <c r="AJ20" t="s">
        <v>1</v>
      </c>
      <c r="AK20" t="s">
        <v>1</v>
      </c>
      <c r="AL20" t="s">
        <v>1</v>
      </c>
      <c r="AM20" t="s">
        <v>1</v>
      </c>
      <c r="AN20" t="s">
        <v>1</v>
      </c>
      <c r="AO20" t="s">
        <v>1</v>
      </c>
      <c r="AP20" t="s">
        <v>1</v>
      </c>
      <c r="AQ20" t="s">
        <v>1</v>
      </c>
      <c r="AR20" t="s">
        <v>1</v>
      </c>
      <c r="AS20" t="s">
        <v>1</v>
      </c>
      <c r="AT20" t="s">
        <v>1</v>
      </c>
      <c r="AU20" t="s">
        <v>1</v>
      </c>
      <c r="AV20" t="s">
        <v>1</v>
      </c>
      <c r="AW20" t="s">
        <v>1</v>
      </c>
      <c r="AX20" t="s">
        <v>1</v>
      </c>
      <c r="AY20" t="s">
        <v>1</v>
      </c>
      <c r="AZ20" t="s">
        <v>1</v>
      </c>
      <c r="BA20" t="s">
        <v>1</v>
      </c>
      <c r="BB20" t="s">
        <v>1</v>
      </c>
      <c r="BC20" t="s">
        <v>1</v>
      </c>
      <c r="BD20" t="s">
        <v>1</v>
      </c>
      <c r="BE20" t="s">
        <v>1</v>
      </c>
      <c r="BF20" t="s">
        <v>1</v>
      </c>
      <c r="BG20" t="s">
        <v>1</v>
      </c>
    </row>
    <row r="21" spans="1:59" x14ac:dyDescent="0.3">
      <c r="A21" t="str">
        <f t="shared" si="0"/>
        <v>". . . . . . . . . . . . . tj-rev-21-10a . tj-rev-21-16 . tj-rev-18-1 tj-rev-18-1-u tj-rev-18-1-u tj-rev-18-1-u tj-rev-18-1-up . tj-rev-18-3 . tj-rev-18-8 . . . . . . . . . . . . . . . . . . . . . . . . . . . . . . ."</v>
      </c>
      <c r="B21" t="s">
        <v>30</v>
      </c>
      <c r="C21" t="s">
        <v>1</v>
      </c>
      <c r="D21" t="s">
        <v>1</v>
      </c>
      <c r="E21" t="s">
        <v>1</v>
      </c>
      <c r="F21" t="s">
        <v>1</v>
      </c>
      <c r="G21" t="s">
        <v>1</v>
      </c>
      <c r="H21" t="s">
        <v>1</v>
      </c>
      <c r="I21" t="s">
        <v>1</v>
      </c>
      <c r="J21" t="s">
        <v>1</v>
      </c>
      <c r="K21" t="s">
        <v>1</v>
      </c>
      <c r="L21" t="s">
        <v>1</v>
      </c>
      <c r="M21" t="s">
        <v>1</v>
      </c>
      <c r="N21" t="s">
        <v>1</v>
      </c>
      <c r="O21" t="s">
        <v>1</v>
      </c>
      <c r="P21" t="s">
        <v>44</v>
      </c>
      <c r="Q21" t="s">
        <v>1</v>
      </c>
      <c r="R21" t="s">
        <v>43</v>
      </c>
      <c r="S21" t="s">
        <v>1</v>
      </c>
      <c r="T21" t="s">
        <v>42</v>
      </c>
      <c r="U21" t="s">
        <v>365</v>
      </c>
      <c r="V21" t="s">
        <v>365</v>
      </c>
      <c r="W21" t="s">
        <v>365</v>
      </c>
      <c r="X21" t="s">
        <v>366</v>
      </c>
      <c r="Y21" t="s">
        <v>1</v>
      </c>
      <c r="Z21" t="s">
        <v>537</v>
      </c>
      <c r="AA21" t="s">
        <v>1</v>
      </c>
      <c r="AB21" t="s">
        <v>610</v>
      </c>
      <c r="AC21" t="s">
        <v>1</v>
      </c>
      <c r="AD21" t="s">
        <v>1</v>
      </c>
      <c r="AE21" t="s">
        <v>1</v>
      </c>
      <c r="AF21" t="s">
        <v>1</v>
      </c>
      <c r="AG21" t="s">
        <v>1</v>
      </c>
      <c r="AH21" t="s">
        <v>1</v>
      </c>
      <c r="AI21" t="s">
        <v>1</v>
      </c>
      <c r="AJ21" t="s">
        <v>1</v>
      </c>
      <c r="AK21" t="s">
        <v>1</v>
      </c>
      <c r="AL21" t="s">
        <v>1</v>
      </c>
      <c r="AM21" t="s">
        <v>1</v>
      </c>
      <c r="AN21" t="s">
        <v>1</v>
      </c>
      <c r="AO21" t="s">
        <v>1</v>
      </c>
      <c r="AP21" t="s">
        <v>1</v>
      </c>
      <c r="AQ21" t="s">
        <v>1</v>
      </c>
      <c r="AR21" t="s">
        <v>1</v>
      </c>
      <c r="AS21" t="s">
        <v>1</v>
      </c>
      <c r="AT21" t="s">
        <v>1</v>
      </c>
      <c r="AU21" t="s">
        <v>1</v>
      </c>
      <c r="AV21" t="s">
        <v>1</v>
      </c>
      <c r="AW21" t="s">
        <v>1</v>
      </c>
      <c r="AX21" t="s">
        <v>1</v>
      </c>
      <c r="AY21" t="s">
        <v>1</v>
      </c>
      <c r="AZ21" t="s">
        <v>1</v>
      </c>
      <c r="BA21" t="s">
        <v>1</v>
      </c>
      <c r="BB21" t="s">
        <v>1</v>
      </c>
      <c r="BC21" t="s">
        <v>1</v>
      </c>
      <c r="BD21" t="s">
        <v>1</v>
      </c>
      <c r="BE21" t="s">
        <v>1</v>
      </c>
      <c r="BF21" t="s">
        <v>1</v>
      </c>
      <c r="BG21" t="s">
        <v>1</v>
      </c>
    </row>
    <row r="22" spans="1:59" x14ac:dyDescent="0.3">
      <c r="A22" t="str">
        <f t="shared" si="0"/>
        <v>". . . tj-es2-15-2 tj-es2-15-2-u tj-es2-15-2-u tj-es2-15-2-u tj-es2-15-2-up . tj-es2-15-6 . tj-es2-15-8b . tj-es2-15-8b-up . tj-es2-15-11a . tj-es2-15-11a-up . tj-es2-15-13a tj-es2-15-13a-u tj-es2-15-13a-u tj-es2-15-13a-u tj-es2-15-13a-up . tj-es2-15-16 . . . . . . . . . . . . . . . . . . . . . . . . . . . . . . ."</v>
      </c>
      <c r="B22" t="s">
        <v>30</v>
      </c>
      <c r="C22" t="s">
        <v>1</v>
      </c>
      <c r="D22" t="s">
        <v>1</v>
      </c>
      <c r="E22" t="s">
        <v>1</v>
      </c>
      <c r="F22" t="s">
        <v>380</v>
      </c>
      <c r="G22" t="s">
        <v>381</v>
      </c>
      <c r="H22" t="s">
        <v>381</v>
      </c>
      <c r="I22" t="s">
        <v>381</v>
      </c>
      <c r="J22" t="s">
        <v>382</v>
      </c>
      <c r="K22" t="s">
        <v>1</v>
      </c>
      <c r="L22" t="s">
        <v>41</v>
      </c>
      <c r="M22" t="s">
        <v>1</v>
      </c>
      <c r="N22" t="s">
        <v>40</v>
      </c>
      <c r="O22" t="s">
        <v>1</v>
      </c>
      <c r="P22" t="s">
        <v>360</v>
      </c>
      <c r="Q22" t="s">
        <v>1</v>
      </c>
      <c r="R22" t="s">
        <v>39</v>
      </c>
      <c r="S22" t="s">
        <v>1</v>
      </c>
      <c r="T22" t="s">
        <v>452</v>
      </c>
      <c r="U22" t="s">
        <v>1</v>
      </c>
      <c r="V22" t="s">
        <v>38</v>
      </c>
      <c r="W22" t="s">
        <v>367</v>
      </c>
      <c r="X22" t="s">
        <v>367</v>
      </c>
      <c r="Y22" t="s">
        <v>367</v>
      </c>
      <c r="Z22" t="s">
        <v>539</v>
      </c>
      <c r="AA22" t="s">
        <v>1</v>
      </c>
      <c r="AB22" t="s">
        <v>611</v>
      </c>
      <c r="AC22" t="s">
        <v>1</v>
      </c>
      <c r="AD22" t="s">
        <v>1</v>
      </c>
      <c r="AE22" t="s">
        <v>1</v>
      </c>
      <c r="AF22" t="s">
        <v>1</v>
      </c>
      <c r="AG22" t="s">
        <v>1</v>
      </c>
      <c r="AH22" t="s">
        <v>1</v>
      </c>
      <c r="AI22" t="s">
        <v>1</v>
      </c>
      <c r="AJ22" t="s">
        <v>1</v>
      </c>
      <c r="AK22" t="s">
        <v>1</v>
      </c>
      <c r="AL22" t="s">
        <v>1</v>
      </c>
      <c r="AM22" t="s">
        <v>1</v>
      </c>
      <c r="AN22" t="s">
        <v>1</v>
      </c>
      <c r="AO22" t="s">
        <v>1</v>
      </c>
      <c r="AP22" t="s">
        <v>1</v>
      </c>
      <c r="AQ22" t="s">
        <v>1</v>
      </c>
      <c r="AR22" t="s">
        <v>1</v>
      </c>
      <c r="AS22" t="s">
        <v>1</v>
      </c>
      <c r="AT22" t="s">
        <v>1</v>
      </c>
      <c r="AU22" t="s">
        <v>1</v>
      </c>
      <c r="AV22" t="s">
        <v>1</v>
      </c>
      <c r="AW22" t="s">
        <v>1</v>
      </c>
      <c r="AX22" t="s">
        <v>1</v>
      </c>
      <c r="AY22" t="s">
        <v>1</v>
      </c>
      <c r="AZ22" t="s">
        <v>1</v>
      </c>
      <c r="BA22" t="s">
        <v>1</v>
      </c>
      <c r="BB22" t="s">
        <v>1</v>
      </c>
      <c r="BC22" t="s">
        <v>1</v>
      </c>
      <c r="BD22" t="s">
        <v>1</v>
      </c>
      <c r="BE22" t="s">
        <v>1</v>
      </c>
      <c r="BF22" t="s">
        <v>1</v>
      </c>
      <c r="BG22" t="s">
        <v>1</v>
      </c>
    </row>
    <row r="23" spans="1:59" x14ac:dyDescent="0.3">
      <c r="A23" t="str">
        <f t="shared" si="0"/>
        <v>". . . . . . . . . . . . . . . tj-es2-5-1 . tj-es2-5-2 . tj-es2-5-3 tj-es2-5-3-u tj-es2-5-3-u tj-es2-5-3-u tj-es2-5-3-up . tj-es2-5-5 . . . . . . . . . . . . . . . . . . . . . . . . . . . . . . ."</v>
      </c>
      <c r="B23" t="s">
        <v>30</v>
      </c>
      <c r="C23" t="s">
        <v>1</v>
      </c>
      <c r="D23" t="s">
        <v>1</v>
      </c>
      <c r="E23" t="s">
        <v>1</v>
      </c>
      <c r="F23" t="s">
        <v>1</v>
      </c>
      <c r="G23" t="s">
        <v>1</v>
      </c>
      <c r="H23" t="s">
        <v>1</v>
      </c>
      <c r="I23" t="s">
        <v>1</v>
      </c>
      <c r="J23" t="s">
        <v>1</v>
      </c>
      <c r="K23" t="s">
        <v>1</v>
      </c>
      <c r="L23" t="s">
        <v>1</v>
      </c>
      <c r="M23" t="s">
        <v>1</v>
      </c>
      <c r="N23" t="s">
        <v>1</v>
      </c>
      <c r="O23" t="s">
        <v>1</v>
      </c>
      <c r="P23" t="s">
        <v>1</v>
      </c>
      <c r="Q23" t="s">
        <v>1</v>
      </c>
      <c r="R23" t="s">
        <v>479</v>
      </c>
      <c r="S23" t="s">
        <v>1</v>
      </c>
      <c r="T23" t="s">
        <v>361</v>
      </c>
      <c r="U23" t="s">
        <v>1</v>
      </c>
      <c r="V23" t="s">
        <v>37</v>
      </c>
      <c r="W23" t="s">
        <v>368</v>
      </c>
      <c r="X23" t="s">
        <v>368</v>
      </c>
      <c r="Y23" t="s">
        <v>368</v>
      </c>
      <c r="Z23" t="s">
        <v>538</v>
      </c>
      <c r="AA23" t="s">
        <v>1</v>
      </c>
      <c r="AB23" t="s">
        <v>626</v>
      </c>
      <c r="AC23" t="s">
        <v>1</v>
      </c>
      <c r="AD23" t="s">
        <v>1</v>
      </c>
      <c r="AE23" t="s">
        <v>1</v>
      </c>
      <c r="AF23" t="s">
        <v>1</v>
      </c>
      <c r="AG23" t="s">
        <v>1</v>
      </c>
      <c r="AH23" t="s">
        <v>1</v>
      </c>
      <c r="AI23" t="s">
        <v>1</v>
      </c>
      <c r="AJ23" t="s">
        <v>1</v>
      </c>
      <c r="AK23" t="s">
        <v>1</v>
      </c>
      <c r="AL23" t="s">
        <v>1</v>
      </c>
      <c r="AM23" t="s">
        <v>1</v>
      </c>
      <c r="AN23" t="s">
        <v>1</v>
      </c>
      <c r="AO23" t="s">
        <v>1</v>
      </c>
      <c r="AP23" t="s">
        <v>1</v>
      </c>
      <c r="AQ23" t="s">
        <v>1</v>
      </c>
      <c r="AR23" t="s">
        <v>1</v>
      </c>
      <c r="AS23" t="s">
        <v>1</v>
      </c>
      <c r="AT23" t="s">
        <v>1</v>
      </c>
      <c r="AU23" t="s">
        <v>1</v>
      </c>
      <c r="AV23" t="s">
        <v>1</v>
      </c>
      <c r="AW23" t="s">
        <v>1</v>
      </c>
      <c r="AX23" t="s">
        <v>1</v>
      </c>
      <c r="AY23" t="s">
        <v>1</v>
      </c>
      <c r="AZ23" t="s">
        <v>1</v>
      </c>
      <c r="BA23" t="s">
        <v>1</v>
      </c>
      <c r="BB23" t="s">
        <v>1</v>
      </c>
      <c r="BC23" t="s">
        <v>1</v>
      </c>
      <c r="BD23" t="s">
        <v>1</v>
      </c>
      <c r="BE23" t="s">
        <v>1</v>
      </c>
      <c r="BF23" t="s">
        <v>1</v>
      </c>
      <c r="BG23" t="s">
        <v>1</v>
      </c>
    </row>
    <row r="24" spans="1:59" x14ac:dyDescent="0.3">
      <c r="A24" t="str">
        <f t="shared" si="0"/>
        <v>". . . . . . . . . . . . . tj-es2-2-34-s . tj-es2-2-37 . . . . . tj-ba2-48-31a . tj-ba2-48-31b . tj-ba2-48-32 . . . . . . . . . . . . . . . . . . . . . . . . . . . . . . ."</v>
      </c>
      <c r="B24" t="s">
        <v>30</v>
      </c>
      <c r="C24" t="s">
        <v>1</v>
      </c>
      <c r="D24" t="s">
        <v>1</v>
      </c>
      <c r="E24" t="s">
        <v>1</v>
      </c>
      <c r="F24" t="s">
        <v>1</v>
      </c>
      <c r="G24" t="s">
        <v>1</v>
      </c>
      <c r="H24" t="s">
        <v>1</v>
      </c>
      <c r="I24" t="s">
        <v>1</v>
      </c>
      <c r="J24" t="s">
        <v>1</v>
      </c>
      <c r="K24" t="s">
        <v>1</v>
      </c>
      <c r="L24" t="s">
        <v>1</v>
      </c>
      <c r="M24" t="s">
        <v>1</v>
      </c>
      <c r="N24" t="s">
        <v>1</v>
      </c>
      <c r="O24" t="s">
        <v>1</v>
      </c>
      <c r="P24" t="s">
        <v>36</v>
      </c>
      <c r="Q24" t="s">
        <v>1</v>
      </c>
      <c r="R24" t="s">
        <v>35</v>
      </c>
      <c r="S24" t="s">
        <v>1</v>
      </c>
      <c r="T24" t="s">
        <v>1</v>
      </c>
      <c r="U24" t="s">
        <v>1</v>
      </c>
      <c r="V24" t="s">
        <v>1</v>
      </c>
      <c r="W24" t="s">
        <v>1</v>
      </c>
      <c r="X24" t="s">
        <v>488</v>
      </c>
      <c r="Y24" t="s">
        <v>1</v>
      </c>
      <c r="Z24" t="s">
        <v>546</v>
      </c>
      <c r="AA24" t="s">
        <v>1</v>
      </c>
      <c r="AB24" t="s">
        <v>624</v>
      </c>
      <c r="AC24" t="s">
        <v>1</v>
      </c>
      <c r="AD24" t="s">
        <v>1</v>
      </c>
      <c r="AE24" t="s">
        <v>1</v>
      </c>
      <c r="AF24" t="s">
        <v>1</v>
      </c>
      <c r="AG24" t="s">
        <v>1</v>
      </c>
      <c r="AH24" t="s">
        <v>1</v>
      </c>
      <c r="AI24" t="s">
        <v>1</v>
      </c>
      <c r="AJ24" t="s">
        <v>1</v>
      </c>
      <c r="AK24" t="s">
        <v>1</v>
      </c>
      <c r="AL24" t="s">
        <v>1</v>
      </c>
      <c r="AM24" t="s">
        <v>1</v>
      </c>
      <c r="AN24" t="s">
        <v>1</v>
      </c>
      <c r="AO24" t="s">
        <v>1</v>
      </c>
      <c r="AP24" t="s">
        <v>1</v>
      </c>
      <c r="AQ24" t="s">
        <v>1</v>
      </c>
      <c r="AR24" t="s">
        <v>1</v>
      </c>
      <c r="AS24" t="s">
        <v>1</v>
      </c>
      <c r="AT24" t="s">
        <v>1</v>
      </c>
      <c r="AU24" t="s">
        <v>1</v>
      </c>
      <c r="AV24" t="s">
        <v>1</v>
      </c>
      <c r="AW24" t="s">
        <v>1</v>
      </c>
      <c r="AX24" t="s">
        <v>1</v>
      </c>
      <c r="AY24" t="s">
        <v>1</v>
      </c>
      <c r="AZ24" t="s">
        <v>1</v>
      </c>
      <c r="BA24" t="s">
        <v>1</v>
      </c>
      <c r="BB24" t="s">
        <v>1</v>
      </c>
      <c r="BC24" t="s">
        <v>1</v>
      </c>
      <c r="BD24" t="s">
        <v>1</v>
      </c>
      <c r="BE24" t="s">
        <v>1</v>
      </c>
      <c r="BF24" t="s">
        <v>1</v>
      </c>
      <c r="BG24" t="s">
        <v>1</v>
      </c>
    </row>
    <row r="25" spans="1:59" x14ac:dyDescent="0.3">
      <c r="A25" t="str">
        <f t="shared" si="0"/>
        <v>". . . . . . . . . . . . . tj-1thess-4-16a-s . . . tj-es2-16-13 . tj-es2-16-16a . tj-es2-16-16b . tj-es2-16-16b-up . tj-es2-16-18 . . . . . . . . . . . . . . . . . . . . . . . . . . . . . . ."</v>
      </c>
      <c r="B25" t="s">
        <v>30</v>
      </c>
      <c r="C25" t="s">
        <v>1</v>
      </c>
      <c r="D25" t="s">
        <v>1</v>
      </c>
      <c r="E25" t="s">
        <v>1</v>
      </c>
      <c r="F25" t="s">
        <v>1</v>
      </c>
      <c r="G25" t="s">
        <v>1</v>
      </c>
      <c r="H25" t="s">
        <v>1</v>
      </c>
      <c r="I25" t="s">
        <v>1</v>
      </c>
      <c r="J25" t="s">
        <v>1</v>
      </c>
      <c r="K25" t="s">
        <v>1</v>
      </c>
      <c r="L25" t="s">
        <v>1</v>
      </c>
      <c r="M25" t="s">
        <v>1</v>
      </c>
      <c r="N25" t="s">
        <v>1</v>
      </c>
      <c r="O25" t="s">
        <v>1</v>
      </c>
      <c r="P25" t="s">
        <v>34</v>
      </c>
      <c r="Q25" t="s">
        <v>1</v>
      </c>
      <c r="R25" t="s">
        <v>1</v>
      </c>
      <c r="S25" t="s">
        <v>1</v>
      </c>
      <c r="T25" t="s">
        <v>454</v>
      </c>
      <c r="U25" t="s">
        <v>1</v>
      </c>
      <c r="V25" t="s">
        <v>463</v>
      </c>
      <c r="W25" t="s">
        <v>1</v>
      </c>
      <c r="X25" t="s">
        <v>462</v>
      </c>
      <c r="Y25" t="s">
        <v>1</v>
      </c>
      <c r="Z25" t="s">
        <v>543</v>
      </c>
      <c r="AA25" t="s">
        <v>1</v>
      </c>
      <c r="AB25" t="s">
        <v>640</v>
      </c>
      <c r="AC25" t="s">
        <v>1</v>
      </c>
      <c r="AD25" t="s">
        <v>1</v>
      </c>
      <c r="AE25" t="s">
        <v>1</v>
      </c>
      <c r="AF25" t="s">
        <v>1</v>
      </c>
      <c r="AG25" t="s">
        <v>1</v>
      </c>
      <c r="AH25" t="s">
        <v>1</v>
      </c>
      <c r="AI25" t="s">
        <v>1</v>
      </c>
      <c r="AJ25" t="s">
        <v>1</v>
      </c>
      <c r="AK25" t="s">
        <v>1</v>
      </c>
      <c r="AL25" t="s">
        <v>1</v>
      </c>
      <c r="AM25" t="s">
        <v>1</v>
      </c>
      <c r="AN25" t="s">
        <v>1</v>
      </c>
      <c r="AO25" t="s">
        <v>1</v>
      </c>
      <c r="AP25" t="s">
        <v>1</v>
      </c>
      <c r="AQ25" t="s">
        <v>1</v>
      </c>
      <c r="AR25" t="s">
        <v>1</v>
      </c>
      <c r="AS25" t="s">
        <v>1</v>
      </c>
      <c r="AT25" t="s">
        <v>1</v>
      </c>
      <c r="AU25" t="s">
        <v>1</v>
      </c>
      <c r="AV25" t="s">
        <v>1</v>
      </c>
      <c r="AW25" t="s">
        <v>1</v>
      </c>
      <c r="AX25" t="s">
        <v>1</v>
      </c>
      <c r="AY25" t="s">
        <v>1</v>
      </c>
      <c r="AZ25" t="s">
        <v>1</v>
      </c>
      <c r="BA25" t="s">
        <v>1</v>
      </c>
      <c r="BB25" t="s">
        <v>1</v>
      </c>
      <c r="BC25" t="s">
        <v>1</v>
      </c>
      <c r="BD25" t="s">
        <v>1</v>
      </c>
      <c r="BE25" t="s">
        <v>1</v>
      </c>
      <c r="BF25" t="s">
        <v>1</v>
      </c>
      <c r="BG25" t="s">
        <v>1</v>
      </c>
    </row>
    <row r="26" spans="1:59" x14ac:dyDescent="0.3">
      <c r="A26" t="str">
        <f t="shared" si="0"/>
        <v>". . . . . . . . . . . . . tj-gad-14-4 . tj-gad-14-9a . . . . . tj-ba2-70-2a . tj-ba2-70-2b . tj-ba2-70-3 . . . . . . . . . . . . . . . . . . . . . . . . . . . . . . ."</v>
      </c>
      <c r="B26" t="s">
        <v>30</v>
      </c>
      <c r="C26" t="s">
        <v>1</v>
      </c>
      <c r="D26" t="s">
        <v>1</v>
      </c>
      <c r="E26" t="s">
        <v>1</v>
      </c>
      <c r="F26" t="s">
        <v>1</v>
      </c>
      <c r="G26" t="s">
        <v>1</v>
      </c>
      <c r="H26" t="s">
        <v>1</v>
      </c>
      <c r="I26" t="s">
        <v>1</v>
      </c>
      <c r="J26" t="s">
        <v>1</v>
      </c>
      <c r="K26" t="s">
        <v>1</v>
      </c>
      <c r="L26" t="s">
        <v>1</v>
      </c>
      <c r="M26" t="s">
        <v>1</v>
      </c>
      <c r="N26" t="s">
        <v>1</v>
      </c>
      <c r="O26" t="s">
        <v>1</v>
      </c>
      <c r="P26" t="s">
        <v>33</v>
      </c>
      <c r="Q26" t="s">
        <v>1</v>
      </c>
      <c r="R26" t="s">
        <v>32</v>
      </c>
      <c r="S26" t="s">
        <v>1</v>
      </c>
      <c r="T26" t="s">
        <v>1</v>
      </c>
      <c r="U26" t="s">
        <v>1</v>
      </c>
      <c r="V26" t="s">
        <v>1</v>
      </c>
      <c r="W26" t="s">
        <v>1</v>
      </c>
      <c r="X26" t="s">
        <v>489</v>
      </c>
      <c r="Y26" t="s">
        <v>1</v>
      </c>
      <c r="Z26" t="s">
        <v>544</v>
      </c>
      <c r="AA26" t="s">
        <v>1</v>
      </c>
      <c r="AB26" t="s">
        <v>641</v>
      </c>
      <c r="AC26" t="s">
        <v>1</v>
      </c>
      <c r="AD26" t="s">
        <v>1</v>
      </c>
      <c r="AE26" t="s">
        <v>1</v>
      </c>
      <c r="AF26" t="s">
        <v>1</v>
      </c>
      <c r="AG26" t="s">
        <v>1</v>
      </c>
      <c r="AH26" t="s">
        <v>1</v>
      </c>
      <c r="AI26" t="s">
        <v>1</v>
      </c>
      <c r="AJ26" t="s">
        <v>1</v>
      </c>
      <c r="AK26" t="s">
        <v>1</v>
      </c>
      <c r="AL26" t="s">
        <v>1</v>
      </c>
      <c r="AM26" t="s">
        <v>1</v>
      </c>
      <c r="AN26" t="s">
        <v>1</v>
      </c>
      <c r="AO26" t="s">
        <v>1</v>
      </c>
      <c r="AP26" t="s">
        <v>1</v>
      </c>
      <c r="AQ26" t="s">
        <v>1</v>
      </c>
      <c r="AR26" t="s">
        <v>1</v>
      </c>
      <c r="AS26" t="s">
        <v>1</v>
      </c>
      <c r="AT26" t="s">
        <v>1</v>
      </c>
      <c r="AU26" t="s">
        <v>1</v>
      </c>
      <c r="AV26" t="s">
        <v>1</v>
      </c>
      <c r="AW26" t="s">
        <v>1</v>
      </c>
      <c r="AX26" t="s">
        <v>1</v>
      </c>
      <c r="AY26" t="s">
        <v>1</v>
      </c>
      <c r="AZ26" t="s">
        <v>1</v>
      </c>
      <c r="BA26" t="s">
        <v>1</v>
      </c>
      <c r="BB26" t="s">
        <v>1</v>
      </c>
      <c r="BC26" t="s">
        <v>1</v>
      </c>
      <c r="BD26" t="s">
        <v>1</v>
      </c>
      <c r="BE26" t="s">
        <v>1</v>
      </c>
      <c r="BF26" t="s">
        <v>1</v>
      </c>
      <c r="BG26" t="s">
        <v>1</v>
      </c>
    </row>
    <row r="27" spans="1:59" x14ac:dyDescent="0.3">
      <c r="A27" t="str">
        <f t="shared" si="0"/>
        <v>". . . . . . . . . . . . . . . . . . . . . . . . . . . . . . . . . . . . . . . . . . . . . . . . . . . . . . . . ."</v>
      </c>
      <c r="B27" t="s">
        <v>30</v>
      </c>
      <c r="C27" t="s">
        <v>1</v>
      </c>
      <c r="D27" t="s">
        <v>1</v>
      </c>
      <c r="E27" t="s">
        <v>1</v>
      </c>
      <c r="F27" t="s">
        <v>1</v>
      </c>
      <c r="G27" t="s">
        <v>1</v>
      </c>
      <c r="H27" t="s">
        <v>1</v>
      </c>
      <c r="I27" t="s">
        <v>1</v>
      </c>
      <c r="J27" t="s">
        <v>1</v>
      </c>
      <c r="K27" t="s">
        <v>1</v>
      </c>
      <c r="L27" t="s">
        <v>1</v>
      </c>
      <c r="M27" t="s">
        <v>1</v>
      </c>
      <c r="N27" t="s">
        <v>1</v>
      </c>
      <c r="O27" t="s">
        <v>1</v>
      </c>
      <c r="P27" t="s">
        <v>1</v>
      </c>
      <c r="Q27" t="s">
        <v>1</v>
      </c>
      <c r="R27" t="s">
        <v>1</v>
      </c>
      <c r="S27" t="s">
        <v>1</v>
      </c>
      <c r="T27" t="s">
        <v>1</v>
      </c>
      <c r="U27" t="s">
        <v>1</v>
      </c>
      <c r="V27" t="s">
        <v>1</v>
      </c>
      <c r="W27" t="s">
        <v>1</v>
      </c>
      <c r="X27" t="s">
        <v>1</v>
      </c>
      <c r="Y27" t="s">
        <v>1</v>
      </c>
      <c r="Z27" t="s">
        <v>1</v>
      </c>
      <c r="AA27" t="s">
        <v>1</v>
      </c>
      <c r="AB27" t="s">
        <v>1</v>
      </c>
      <c r="AC27" t="s">
        <v>1</v>
      </c>
      <c r="AD27" t="s">
        <v>1</v>
      </c>
      <c r="AE27" t="s">
        <v>1</v>
      </c>
      <c r="AF27" t="s">
        <v>1</v>
      </c>
      <c r="AG27" t="s">
        <v>1</v>
      </c>
      <c r="AH27" t="s">
        <v>1</v>
      </c>
      <c r="AI27" t="s">
        <v>1</v>
      </c>
      <c r="AJ27" t="s">
        <v>1</v>
      </c>
      <c r="AK27" t="s">
        <v>1</v>
      </c>
      <c r="AL27" t="s">
        <v>1</v>
      </c>
      <c r="AM27" t="s">
        <v>1</v>
      </c>
      <c r="AN27" t="s">
        <v>1</v>
      </c>
      <c r="AO27" t="s">
        <v>1</v>
      </c>
      <c r="AP27" t="s">
        <v>1</v>
      </c>
      <c r="AQ27" t="s">
        <v>1</v>
      </c>
      <c r="AR27" t="s">
        <v>1</v>
      </c>
      <c r="AS27" t="s">
        <v>1</v>
      </c>
      <c r="AT27" t="s">
        <v>1</v>
      </c>
      <c r="AU27" t="s">
        <v>1</v>
      </c>
      <c r="AV27" t="s">
        <v>1</v>
      </c>
      <c r="AW27" t="s">
        <v>1</v>
      </c>
      <c r="AX27" t="s">
        <v>1</v>
      </c>
      <c r="AY27" t="s">
        <v>1</v>
      </c>
      <c r="AZ27" t="s">
        <v>1</v>
      </c>
      <c r="BA27" t="s">
        <v>1</v>
      </c>
      <c r="BB27" t="s">
        <v>1</v>
      </c>
      <c r="BC27" t="s">
        <v>1</v>
      </c>
      <c r="BD27" t="s">
        <v>1</v>
      </c>
      <c r="BE27" t="s">
        <v>1</v>
      </c>
      <c r="BF27" t="s">
        <v>1</v>
      </c>
      <c r="BG27" t="s">
        <v>1</v>
      </c>
    </row>
    <row r="28" spans="1:59" x14ac:dyDescent="0.3">
      <c r="A28" t="str">
        <f t="shared" si="0"/>
        <v>". . . . . . . . . . . . . . . . . . . . . . . . . . . . . . . . . . . . . . . . . . . . . . . . . . . . . . . . ."</v>
      </c>
      <c r="B28" t="s">
        <v>30</v>
      </c>
      <c r="C28" t="s">
        <v>1</v>
      </c>
      <c r="D28" t="s">
        <v>1</v>
      </c>
      <c r="E28" t="s">
        <v>1</v>
      </c>
      <c r="F28" t="s">
        <v>1</v>
      </c>
      <c r="G28" t="s">
        <v>1</v>
      </c>
      <c r="H28" t="s">
        <v>1</v>
      </c>
      <c r="I28" t="s">
        <v>1</v>
      </c>
      <c r="J28" t="s">
        <v>1</v>
      </c>
      <c r="K28" t="s">
        <v>1</v>
      </c>
      <c r="L28" t="s">
        <v>1</v>
      </c>
      <c r="M28" t="s">
        <v>1</v>
      </c>
      <c r="N28" t="s">
        <v>1</v>
      </c>
      <c r="O28" t="s">
        <v>1</v>
      </c>
      <c r="P28" t="s">
        <v>1</v>
      </c>
      <c r="Q28" t="s">
        <v>1</v>
      </c>
      <c r="R28" t="s">
        <v>1</v>
      </c>
      <c r="S28" t="s">
        <v>1</v>
      </c>
      <c r="T28" t="s">
        <v>1</v>
      </c>
      <c r="U28" t="s">
        <v>1</v>
      </c>
      <c r="V28" t="s">
        <v>1</v>
      </c>
      <c r="W28" t="s">
        <v>1</v>
      </c>
      <c r="X28" t="s">
        <v>1</v>
      </c>
      <c r="Y28" t="s">
        <v>1</v>
      </c>
      <c r="Z28" t="s">
        <v>1</v>
      </c>
      <c r="AA28" t="s">
        <v>1</v>
      </c>
      <c r="AB28" t="s">
        <v>1</v>
      </c>
      <c r="AC28" t="s">
        <v>1</v>
      </c>
      <c r="AD28" t="s">
        <v>1</v>
      </c>
      <c r="AE28" t="s">
        <v>1</v>
      </c>
      <c r="AF28" t="s">
        <v>1</v>
      </c>
      <c r="AG28" t="s">
        <v>1</v>
      </c>
      <c r="AH28" t="s">
        <v>1</v>
      </c>
      <c r="AI28" t="s">
        <v>1</v>
      </c>
      <c r="AJ28" t="s">
        <v>1</v>
      </c>
      <c r="AK28" t="s">
        <v>1</v>
      </c>
      <c r="AL28" t="s">
        <v>1</v>
      </c>
      <c r="AM28" t="s">
        <v>1</v>
      </c>
      <c r="AN28" t="s">
        <v>1</v>
      </c>
      <c r="AO28" t="s">
        <v>1</v>
      </c>
      <c r="AP28" t="s">
        <v>1</v>
      </c>
      <c r="AQ28" t="s">
        <v>1</v>
      </c>
      <c r="AR28" t="s">
        <v>1</v>
      </c>
      <c r="AS28" t="s">
        <v>1</v>
      </c>
      <c r="AT28" t="s">
        <v>1</v>
      </c>
      <c r="AU28" t="s">
        <v>1</v>
      </c>
      <c r="AV28" t="s">
        <v>1</v>
      </c>
      <c r="AW28" t="s">
        <v>1</v>
      </c>
      <c r="AX28" t="s">
        <v>1</v>
      </c>
      <c r="AY28" t="s">
        <v>1</v>
      </c>
      <c r="AZ28" t="s">
        <v>1</v>
      </c>
      <c r="BA28" t="s">
        <v>1</v>
      </c>
      <c r="BB28" t="s">
        <v>1</v>
      </c>
      <c r="BC28" t="s">
        <v>1</v>
      </c>
      <c r="BD28" t="s">
        <v>1</v>
      </c>
      <c r="BE28" t="s">
        <v>1</v>
      </c>
      <c r="BF28" t="s">
        <v>1</v>
      </c>
      <c r="BG28" t="s">
        <v>1</v>
      </c>
    </row>
    <row r="29" spans="1:59" x14ac:dyDescent="0.3">
      <c r="A29" t="str">
        <f t="shared" si="0"/>
        <v>". . . . . . . . . . . . . . . . . . . . . . . . . . . . . . . . . . . . . . . . . . . . . . . . . . . . . . . . ."</v>
      </c>
      <c r="B29" t="s">
        <v>30</v>
      </c>
      <c r="C29" t="s">
        <v>1</v>
      </c>
      <c r="D29" t="s">
        <v>1</v>
      </c>
      <c r="E29" t="s">
        <v>1</v>
      </c>
      <c r="F29" t="s">
        <v>1</v>
      </c>
      <c r="G29" t="s">
        <v>1</v>
      </c>
      <c r="H29" t="s">
        <v>1</v>
      </c>
      <c r="I29" t="s">
        <v>1</v>
      </c>
      <c r="J29" t="s">
        <v>1</v>
      </c>
      <c r="K29" t="s">
        <v>1</v>
      </c>
      <c r="L29" t="s">
        <v>1</v>
      </c>
      <c r="M29" t="s">
        <v>1</v>
      </c>
      <c r="N29" t="s">
        <v>1</v>
      </c>
      <c r="O29" t="s">
        <v>1</v>
      </c>
      <c r="P29" t="s">
        <v>1</v>
      </c>
      <c r="Q29" t="s">
        <v>1</v>
      </c>
      <c r="R29" t="s">
        <v>1</v>
      </c>
      <c r="S29" t="s">
        <v>1</v>
      </c>
      <c r="T29" t="s">
        <v>1</v>
      </c>
      <c r="U29" t="s">
        <v>1</v>
      </c>
      <c r="V29" t="s">
        <v>1</v>
      </c>
      <c r="W29" t="s">
        <v>1</v>
      </c>
      <c r="X29" t="s">
        <v>1</v>
      </c>
      <c r="Y29" t="s">
        <v>1</v>
      </c>
      <c r="Z29" t="s">
        <v>1</v>
      </c>
      <c r="AA29" t="s">
        <v>1</v>
      </c>
      <c r="AB29" t="s">
        <v>1</v>
      </c>
      <c r="AC29" t="s">
        <v>1</v>
      </c>
      <c r="AD29" t="s">
        <v>1</v>
      </c>
      <c r="AE29" t="s">
        <v>1</v>
      </c>
      <c r="AF29" t="s">
        <v>1</v>
      </c>
      <c r="AG29" t="s">
        <v>1</v>
      </c>
      <c r="AH29" t="s">
        <v>1</v>
      </c>
      <c r="AI29" t="s">
        <v>1</v>
      </c>
      <c r="AJ29" t="s">
        <v>1</v>
      </c>
      <c r="AK29" t="s">
        <v>1</v>
      </c>
      <c r="AL29" t="s">
        <v>1</v>
      </c>
      <c r="AM29" t="s">
        <v>1</v>
      </c>
      <c r="AN29" t="s">
        <v>1</v>
      </c>
      <c r="AO29" t="s">
        <v>1</v>
      </c>
      <c r="AP29" t="s">
        <v>1</v>
      </c>
      <c r="AQ29" t="s">
        <v>1</v>
      </c>
      <c r="AR29" t="s">
        <v>1</v>
      </c>
      <c r="AS29" t="s">
        <v>1</v>
      </c>
      <c r="AT29" t="s">
        <v>1</v>
      </c>
      <c r="AU29" t="s">
        <v>1</v>
      </c>
      <c r="AV29" t="s">
        <v>1</v>
      </c>
      <c r="AW29" t="s">
        <v>1</v>
      </c>
      <c r="AX29" t="s">
        <v>1</v>
      </c>
      <c r="AY29" t="s">
        <v>1</v>
      </c>
      <c r="AZ29" t="s">
        <v>1</v>
      </c>
      <c r="BA29" t="s">
        <v>1</v>
      </c>
      <c r="BB29" t="s">
        <v>1</v>
      </c>
      <c r="BC29" t="s">
        <v>1</v>
      </c>
      <c r="BD29" t="s">
        <v>1</v>
      </c>
      <c r="BE29" t="s">
        <v>1</v>
      </c>
      <c r="BF29" t="s">
        <v>1</v>
      </c>
      <c r="BG29" t="s">
        <v>1</v>
      </c>
    </row>
    <row r="30" spans="1:59" x14ac:dyDescent="0.3">
      <c r="A30" t="str">
        <f t="shared" si="0"/>
        <v>". . . . . . . . . . . . . . . . . . . . . . . . . . . . . . . . . . . . . . . . . . . . . . . . . . . . . . . . ."</v>
      </c>
      <c r="B30" t="s">
        <v>30</v>
      </c>
      <c r="C30" t="s">
        <v>1</v>
      </c>
      <c r="D30" t="s">
        <v>1</v>
      </c>
      <c r="E30" t="s">
        <v>1</v>
      </c>
      <c r="F30" t="s">
        <v>1</v>
      </c>
      <c r="G30" t="s">
        <v>1</v>
      </c>
      <c r="H30" t="s">
        <v>1</v>
      </c>
      <c r="I30" t="s">
        <v>1</v>
      </c>
      <c r="J30" t="s">
        <v>1</v>
      </c>
      <c r="K30" t="s">
        <v>1</v>
      </c>
      <c r="L30" t="s">
        <v>1</v>
      </c>
      <c r="M30" t="s">
        <v>1</v>
      </c>
      <c r="N30" t="s">
        <v>1</v>
      </c>
      <c r="O30" t="s">
        <v>1</v>
      </c>
      <c r="P30" t="s">
        <v>1</v>
      </c>
      <c r="Q30" t="s">
        <v>1</v>
      </c>
      <c r="R30" t="s">
        <v>1</v>
      </c>
      <c r="S30" t="s">
        <v>1</v>
      </c>
      <c r="T30" t="s">
        <v>1</v>
      </c>
      <c r="U30" t="s">
        <v>1</v>
      </c>
      <c r="V30" t="s">
        <v>1</v>
      </c>
      <c r="W30" t="s">
        <v>1</v>
      </c>
      <c r="X30" t="s">
        <v>1</v>
      </c>
      <c r="Y30" t="s">
        <v>1</v>
      </c>
      <c r="Z30" t="s">
        <v>1</v>
      </c>
      <c r="AA30" t="s">
        <v>1</v>
      </c>
      <c r="AB30" t="s">
        <v>1</v>
      </c>
      <c r="AC30" t="s">
        <v>1</v>
      </c>
      <c r="AD30" t="s">
        <v>1</v>
      </c>
      <c r="AE30" t="s">
        <v>1</v>
      </c>
      <c r="AF30" t="s">
        <v>1</v>
      </c>
      <c r="AG30" t="s">
        <v>1</v>
      </c>
      <c r="AH30" t="s">
        <v>1</v>
      </c>
      <c r="AI30" t="s">
        <v>1</v>
      </c>
      <c r="AJ30" t="s">
        <v>1</v>
      </c>
      <c r="AK30" t="s">
        <v>1</v>
      </c>
      <c r="AL30" t="s">
        <v>1</v>
      </c>
      <c r="AM30" t="s">
        <v>1</v>
      </c>
      <c r="AN30" t="s">
        <v>1</v>
      </c>
      <c r="AO30" t="s">
        <v>1</v>
      </c>
      <c r="AP30" t="s">
        <v>1</v>
      </c>
      <c r="AQ30" t="s">
        <v>1</v>
      </c>
      <c r="AR30" t="s">
        <v>1</v>
      </c>
      <c r="AS30" t="s">
        <v>1</v>
      </c>
      <c r="AT30" t="s">
        <v>1</v>
      </c>
      <c r="AU30" t="s">
        <v>1</v>
      </c>
      <c r="AV30" t="s">
        <v>1</v>
      </c>
      <c r="AW30" t="s">
        <v>1</v>
      </c>
      <c r="AX30" t="s">
        <v>1</v>
      </c>
      <c r="AY30" t="s">
        <v>1</v>
      </c>
      <c r="AZ30" t="s">
        <v>1</v>
      </c>
      <c r="BA30" t="s">
        <v>1</v>
      </c>
      <c r="BB30" t="s">
        <v>1</v>
      </c>
      <c r="BC30" t="s">
        <v>1</v>
      </c>
      <c r="BD30" t="s">
        <v>1</v>
      </c>
      <c r="BE30" t="s">
        <v>1</v>
      </c>
      <c r="BF30" t="s">
        <v>1</v>
      </c>
      <c r="BG30" t="s">
        <v>1</v>
      </c>
    </row>
    <row r="31" spans="1:59" x14ac:dyDescent="0.3">
      <c r="A31" t="str">
        <f t="shared" si="0"/>
        <v>". . . . . . . . . . . . . . . . . . . . . . . . . . . . . . . . . . . . . . . . . . . . . . . . . . . . . . . . ."</v>
      </c>
      <c r="B31" t="s">
        <v>30</v>
      </c>
      <c r="C31" t="s">
        <v>1</v>
      </c>
      <c r="D31" t="s">
        <v>1</v>
      </c>
      <c r="E31" t="s">
        <v>1</v>
      </c>
      <c r="F31" t="s">
        <v>1</v>
      </c>
      <c r="G31" t="s">
        <v>1</v>
      </c>
      <c r="H31" t="s">
        <v>1</v>
      </c>
      <c r="I31" t="s">
        <v>1</v>
      </c>
      <c r="J31" t="s">
        <v>1</v>
      </c>
      <c r="K31" t="s">
        <v>1</v>
      </c>
      <c r="L31" t="s">
        <v>1</v>
      </c>
      <c r="M31" t="s">
        <v>1</v>
      </c>
      <c r="N31" t="s">
        <v>1</v>
      </c>
      <c r="O31" t="s">
        <v>1</v>
      </c>
      <c r="P31" t="s">
        <v>1</v>
      </c>
      <c r="Q31" t="s">
        <v>1</v>
      </c>
      <c r="R31" t="s">
        <v>1</v>
      </c>
      <c r="S31" t="s">
        <v>1</v>
      </c>
      <c r="T31" t="s">
        <v>1</v>
      </c>
      <c r="U31" t="s">
        <v>1</v>
      </c>
      <c r="V31" t="s">
        <v>1</v>
      </c>
      <c r="W31" t="s">
        <v>1</v>
      </c>
      <c r="X31" t="s">
        <v>1</v>
      </c>
      <c r="Y31" t="s">
        <v>1</v>
      </c>
      <c r="Z31" t="s">
        <v>1</v>
      </c>
      <c r="AA31" t="s">
        <v>1</v>
      </c>
      <c r="AB31" t="s">
        <v>1</v>
      </c>
      <c r="AC31" t="s">
        <v>1</v>
      </c>
      <c r="AD31" t="s">
        <v>1</v>
      </c>
      <c r="AE31" t="s">
        <v>1</v>
      </c>
      <c r="AF31" t="s">
        <v>1</v>
      </c>
      <c r="AG31" t="s">
        <v>1</v>
      </c>
      <c r="AH31" t="s">
        <v>1</v>
      </c>
      <c r="AI31" t="s">
        <v>1</v>
      </c>
      <c r="AJ31" t="s">
        <v>1</v>
      </c>
      <c r="AK31" t="s">
        <v>1</v>
      </c>
      <c r="AL31" t="s">
        <v>1</v>
      </c>
      <c r="AM31" t="s">
        <v>1</v>
      </c>
      <c r="AN31" t="s">
        <v>1</v>
      </c>
      <c r="AO31" t="s">
        <v>1</v>
      </c>
      <c r="AP31" t="s">
        <v>1</v>
      </c>
      <c r="AQ31" t="s">
        <v>1</v>
      </c>
      <c r="AR31" t="s">
        <v>1</v>
      </c>
      <c r="AS31" t="s">
        <v>1</v>
      </c>
      <c r="AT31" t="s">
        <v>1</v>
      </c>
      <c r="AU31" t="s">
        <v>1</v>
      </c>
      <c r="AV31" t="s">
        <v>1</v>
      </c>
      <c r="AW31" t="s">
        <v>1</v>
      </c>
      <c r="AX31" t="s">
        <v>1</v>
      </c>
      <c r="AY31" t="s">
        <v>1</v>
      </c>
      <c r="AZ31" t="s">
        <v>1</v>
      </c>
      <c r="BA31" t="s">
        <v>1</v>
      </c>
      <c r="BB31" t="s">
        <v>1</v>
      </c>
      <c r="BC31" t="s">
        <v>1</v>
      </c>
      <c r="BD31" t="s">
        <v>1</v>
      </c>
      <c r="BE31" t="s">
        <v>1</v>
      </c>
      <c r="BF31" t="s">
        <v>1</v>
      </c>
      <c r="BG31" t="s">
        <v>1</v>
      </c>
    </row>
    <row r="32" spans="1:59" x14ac:dyDescent="0.3">
      <c r="A32" t="str">
        <f t="shared" si="0"/>
        <v>". . . . . . . . . . . . . . . . . . . . . . . . . . . . . . . . . . . . . . . . . . . . . . . . . . . . . . . . ."</v>
      </c>
      <c r="B32" t="s">
        <v>30</v>
      </c>
      <c r="C32" t="s">
        <v>1</v>
      </c>
      <c r="D32" t="s">
        <v>1</v>
      </c>
      <c r="E32" t="s">
        <v>1</v>
      </c>
      <c r="F32" t="s">
        <v>1</v>
      </c>
      <c r="G32" t="s">
        <v>1</v>
      </c>
      <c r="H32" t="s">
        <v>1</v>
      </c>
      <c r="I32" t="s">
        <v>1</v>
      </c>
      <c r="J32" t="s">
        <v>1</v>
      </c>
      <c r="K32" t="s">
        <v>1</v>
      </c>
      <c r="L32" t="s">
        <v>1</v>
      </c>
      <c r="M32" t="s">
        <v>1</v>
      </c>
      <c r="N32" t="s">
        <v>1</v>
      </c>
      <c r="O32" t="s">
        <v>1</v>
      </c>
      <c r="P32" t="s">
        <v>1</v>
      </c>
      <c r="Q32" t="s">
        <v>1</v>
      </c>
      <c r="R32" t="s">
        <v>1</v>
      </c>
      <c r="S32" t="s">
        <v>1</v>
      </c>
      <c r="T32" t="s">
        <v>1</v>
      </c>
      <c r="U32" t="s">
        <v>1</v>
      </c>
      <c r="V32" t="s">
        <v>1</v>
      </c>
      <c r="W32" t="s">
        <v>1</v>
      </c>
      <c r="X32" t="s">
        <v>1</v>
      </c>
      <c r="Y32" t="s">
        <v>1</v>
      </c>
      <c r="Z32" t="s">
        <v>1</v>
      </c>
      <c r="AA32" t="s">
        <v>1</v>
      </c>
      <c r="AB32" t="s">
        <v>1</v>
      </c>
      <c r="AC32" t="s">
        <v>1</v>
      </c>
      <c r="AD32" t="s">
        <v>1</v>
      </c>
      <c r="AE32" t="s">
        <v>1</v>
      </c>
      <c r="AF32" t="s">
        <v>1</v>
      </c>
      <c r="AG32" t="s">
        <v>1</v>
      </c>
      <c r="AH32" t="s">
        <v>1</v>
      </c>
      <c r="AI32" t="s">
        <v>1</v>
      </c>
      <c r="AJ32" t="s">
        <v>1</v>
      </c>
      <c r="AK32" t="s">
        <v>1</v>
      </c>
      <c r="AL32" t="s">
        <v>1</v>
      </c>
      <c r="AM32" t="s">
        <v>1</v>
      </c>
      <c r="AN32" t="s">
        <v>1</v>
      </c>
      <c r="AO32" t="s">
        <v>1</v>
      </c>
      <c r="AP32" t="s">
        <v>1</v>
      </c>
      <c r="AQ32" t="s">
        <v>1</v>
      </c>
      <c r="AR32" t="s">
        <v>1</v>
      </c>
      <c r="AS32" t="s">
        <v>1</v>
      </c>
      <c r="AT32" t="s">
        <v>1</v>
      </c>
      <c r="AU32" t="s">
        <v>1</v>
      </c>
      <c r="AV32" t="s">
        <v>1</v>
      </c>
      <c r="AW32" t="s">
        <v>1</v>
      </c>
      <c r="AX32" t="s">
        <v>1</v>
      </c>
      <c r="AY32" t="s">
        <v>1</v>
      </c>
      <c r="AZ32" t="s">
        <v>1</v>
      </c>
      <c r="BA32" t="s">
        <v>1</v>
      </c>
      <c r="BB32" t="s">
        <v>1</v>
      </c>
      <c r="BC32" t="s">
        <v>1</v>
      </c>
      <c r="BD32" t="s">
        <v>1</v>
      </c>
      <c r="BE32" t="s">
        <v>1</v>
      </c>
      <c r="BF32" t="s">
        <v>1</v>
      </c>
      <c r="BG32" t="s">
        <v>1</v>
      </c>
    </row>
    <row r="33" spans="1:59" x14ac:dyDescent="0.3">
      <c r="A33" t="str">
        <f t="shared" si="0"/>
        <v>". . . . . . . . . tj-dan-8-7 tj-dan-8-7-u tj-dan-8-7-u tj-dan-8-7-u tj-dan-8-7-up . . . . . . . . . . . . . . . . . . . . . . . . . . . . . . . . . . . . . . . . . . ."</v>
      </c>
      <c r="B33" t="s">
        <v>30</v>
      </c>
      <c r="C33" t="s">
        <v>1</v>
      </c>
      <c r="D33" t="s">
        <v>1</v>
      </c>
      <c r="E33" t="s">
        <v>1</v>
      </c>
      <c r="F33" t="s">
        <v>1</v>
      </c>
      <c r="G33" t="s">
        <v>1</v>
      </c>
      <c r="H33" t="s">
        <v>1</v>
      </c>
      <c r="I33" t="s">
        <v>1</v>
      </c>
      <c r="J33" t="s">
        <v>1</v>
      </c>
      <c r="K33" t="s">
        <v>1</v>
      </c>
      <c r="L33" t="s">
        <v>645</v>
      </c>
      <c r="M33" t="s">
        <v>648</v>
      </c>
      <c r="N33" t="s">
        <v>648</v>
      </c>
      <c r="O33" t="s">
        <v>648</v>
      </c>
      <c r="P33" t="s">
        <v>651</v>
      </c>
      <c r="Q33" t="s">
        <v>1</v>
      </c>
      <c r="R33" t="s">
        <v>1</v>
      </c>
      <c r="S33" t="s">
        <v>1</v>
      </c>
      <c r="T33" t="s">
        <v>1</v>
      </c>
      <c r="U33" t="s">
        <v>1</v>
      </c>
      <c r="V33" t="s">
        <v>1</v>
      </c>
      <c r="W33" t="s">
        <v>1</v>
      </c>
      <c r="X33" t="s">
        <v>1</v>
      </c>
      <c r="Y33" t="s">
        <v>1</v>
      </c>
      <c r="Z33" t="s">
        <v>1</v>
      </c>
      <c r="AA33" t="s">
        <v>1</v>
      </c>
      <c r="AB33" t="s">
        <v>1</v>
      </c>
      <c r="AC33" t="s">
        <v>1</v>
      </c>
      <c r="AD33" t="s">
        <v>1</v>
      </c>
      <c r="AE33" t="s">
        <v>1</v>
      </c>
      <c r="AF33" t="s">
        <v>1</v>
      </c>
      <c r="AG33" t="s">
        <v>1</v>
      </c>
      <c r="AH33" t="s">
        <v>1</v>
      </c>
      <c r="AI33" t="s">
        <v>1</v>
      </c>
      <c r="AJ33" t="s">
        <v>1</v>
      </c>
      <c r="AK33" t="s">
        <v>1</v>
      </c>
      <c r="AL33" t="s">
        <v>1</v>
      </c>
      <c r="AM33" t="s">
        <v>1</v>
      </c>
      <c r="AN33" t="s">
        <v>1</v>
      </c>
      <c r="AO33" t="s">
        <v>1</v>
      </c>
      <c r="AP33" t="s">
        <v>1</v>
      </c>
      <c r="AQ33" t="s">
        <v>1</v>
      </c>
      <c r="AR33" t="s">
        <v>1</v>
      </c>
      <c r="AS33" t="s">
        <v>1</v>
      </c>
      <c r="AT33" t="s">
        <v>1</v>
      </c>
      <c r="AU33" t="s">
        <v>1</v>
      </c>
      <c r="AV33" t="s">
        <v>1</v>
      </c>
      <c r="AW33" t="s">
        <v>1</v>
      </c>
      <c r="AX33" t="s">
        <v>1</v>
      </c>
      <c r="AY33" t="s">
        <v>1</v>
      </c>
      <c r="AZ33" t="s">
        <v>1</v>
      </c>
      <c r="BA33" t="s">
        <v>1</v>
      </c>
      <c r="BB33" t="s">
        <v>1</v>
      </c>
      <c r="BC33" t="s">
        <v>1</v>
      </c>
      <c r="BD33" t="s">
        <v>1</v>
      </c>
      <c r="BE33" t="s">
        <v>1</v>
      </c>
      <c r="BF33" t="s">
        <v>1</v>
      </c>
      <c r="BG33" t="s">
        <v>1</v>
      </c>
    </row>
    <row r="34" spans="1:59" x14ac:dyDescent="0.3">
      <c r="A34" t="str">
        <f t="shared" si="0"/>
        <v>". . . . . . . . . tj-dan-8-21 tj-dan-8-21-u tj-dan-8-21-u tj-dan-8-21-u tj-dan-8-21-up . tj-dan-8-22b . . . . . . . . . . . . . . . . . . . . . . . . . . . . . . . . . . . . . . . . ."</v>
      </c>
      <c r="B34" t="s">
        <v>30</v>
      </c>
      <c r="C34" t="s">
        <v>1</v>
      </c>
      <c r="D34" t="s">
        <v>1</v>
      </c>
      <c r="E34" t="s">
        <v>1</v>
      </c>
      <c r="F34" t="s">
        <v>1</v>
      </c>
      <c r="G34" t="s">
        <v>1</v>
      </c>
      <c r="H34" t="s">
        <v>1</v>
      </c>
      <c r="I34" t="s">
        <v>1</v>
      </c>
      <c r="J34" t="s">
        <v>1</v>
      </c>
      <c r="K34" t="s">
        <v>1</v>
      </c>
      <c r="L34" t="s">
        <v>646</v>
      </c>
      <c r="M34" t="s">
        <v>649</v>
      </c>
      <c r="N34" t="s">
        <v>649</v>
      </c>
      <c r="O34" t="s">
        <v>649</v>
      </c>
      <c r="P34" t="s">
        <v>652</v>
      </c>
      <c r="Q34" t="s">
        <v>1</v>
      </c>
      <c r="R34" t="s">
        <v>658</v>
      </c>
      <c r="S34" t="s">
        <v>1</v>
      </c>
      <c r="T34" t="s">
        <v>1</v>
      </c>
      <c r="U34" t="s">
        <v>1</v>
      </c>
      <c r="V34" t="s">
        <v>1</v>
      </c>
      <c r="W34" t="s">
        <v>1</v>
      </c>
      <c r="X34" t="s">
        <v>1</v>
      </c>
      <c r="Y34" t="s">
        <v>1</v>
      </c>
      <c r="Z34" t="s">
        <v>1</v>
      </c>
      <c r="AA34" t="s">
        <v>1</v>
      </c>
      <c r="AB34" t="s">
        <v>1</v>
      </c>
      <c r="AC34" t="s">
        <v>1</v>
      </c>
      <c r="AD34" t="s">
        <v>1</v>
      </c>
      <c r="AE34" t="s">
        <v>1</v>
      </c>
      <c r="AF34" t="s">
        <v>1</v>
      </c>
      <c r="AG34" t="s">
        <v>1</v>
      </c>
      <c r="AH34" t="s">
        <v>1</v>
      </c>
      <c r="AI34" t="s">
        <v>1</v>
      </c>
      <c r="AJ34" t="s">
        <v>1</v>
      </c>
      <c r="AK34" t="s">
        <v>1</v>
      </c>
      <c r="AL34" t="s">
        <v>1</v>
      </c>
      <c r="AM34" t="s">
        <v>1</v>
      </c>
      <c r="AN34" t="s">
        <v>1</v>
      </c>
      <c r="AO34" t="s">
        <v>1</v>
      </c>
      <c r="AP34" t="s">
        <v>1</v>
      </c>
      <c r="AQ34" t="s">
        <v>1</v>
      </c>
      <c r="AR34" t="s">
        <v>1</v>
      </c>
      <c r="AS34" t="s">
        <v>1</v>
      </c>
      <c r="AT34" t="s">
        <v>1</v>
      </c>
      <c r="AU34" t="s">
        <v>1</v>
      </c>
      <c r="AV34" t="s">
        <v>1</v>
      </c>
      <c r="AW34" t="s">
        <v>1</v>
      </c>
      <c r="AX34" t="s">
        <v>1</v>
      </c>
      <c r="AY34" t="s">
        <v>1</v>
      </c>
      <c r="AZ34" t="s">
        <v>1</v>
      </c>
      <c r="BA34" t="s">
        <v>1</v>
      </c>
      <c r="BB34" t="s">
        <v>1</v>
      </c>
      <c r="BC34" t="s">
        <v>1</v>
      </c>
      <c r="BD34" t="s">
        <v>1</v>
      </c>
      <c r="BE34" t="s">
        <v>1</v>
      </c>
      <c r="BF34" t="s">
        <v>1</v>
      </c>
      <c r="BG34" t="s">
        <v>1</v>
      </c>
    </row>
    <row r="35" spans="1:59" x14ac:dyDescent="0.3">
      <c r="A35" t="str">
        <f t="shared" si="0"/>
        <v>". . . tj-dan-11-2a tj-dan-11-2a-u tj-dan-11-2a-u tj-dan-11-2a-u tj-dan-11-2a-up . tj-dan-11-3 tj-dan-11-3-u tj-dan-11-3-u tj-dan-11-3-u tj-dan-11-3-up . . . . . . . . . . . . . . . . . . . . . . . . . . . . . . . . . . . . . . . . . . ."</v>
      </c>
      <c r="B35" t="s">
        <v>30</v>
      </c>
      <c r="C35" t="s">
        <v>1</v>
      </c>
      <c r="D35" t="s">
        <v>1</v>
      </c>
      <c r="E35" t="s">
        <v>1</v>
      </c>
      <c r="F35" t="s">
        <v>407</v>
      </c>
      <c r="G35" t="s">
        <v>408</v>
      </c>
      <c r="H35" t="s">
        <v>408</v>
      </c>
      <c r="I35" t="s">
        <v>408</v>
      </c>
      <c r="J35" t="s">
        <v>409</v>
      </c>
      <c r="K35" t="s">
        <v>1</v>
      </c>
      <c r="L35" t="s">
        <v>647</v>
      </c>
      <c r="M35" t="s">
        <v>650</v>
      </c>
      <c r="N35" t="s">
        <v>650</v>
      </c>
      <c r="O35" t="s">
        <v>650</v>
      </c>
      <c r="P35" t="s">
        <v>653</v>
      </c>
      <c r="Q35" t="s">
        <v>1</v>
      </c>
      <c r="R35" t="s">
        <v>1</v>
      </c>
      <c r="S35" t="s">
        <v>1</v>
      </c>
      <c r="T35" t="s">
        <v>1</v>
      </c>
      <c r="U35" t="s">
        <v>1</v>
      </c>
      <c r="V35" t="s">
        <v>1</v>
      </c>
      <c r="W35" t="s">
        <v>1</v>
      </c>
      <c r="X35" t="s">
        <v>1</v>
      </c>
      <c r="Y35" t="s">
        <v>1</v>
      </c>
      <c r="Z35" t="s">
        <v>1</v>
      </c>
      <c r="AA35" t="s">
        <v>1</v>
      </c>
      <c r="AB35" t="s">
        <v>1</v>
      </c>
      <c r="AC35" t="s">
        <v>1</v>
      </c>
      <c r="AD35" t="s">
        <v>1</v>
      </c>
      <c r="AE35" t="s">
        <v>1</v>
      </c>
      <c r="AF35" t="s">
        <v>1</v>
      </c>
      <c r="AG35" t="s">
        <v>1</v>
      </c>
      <c r="AH35" t="s">
        <v>1</v>
      </c>
      <c r="AI35" t="s">
        <v>1</v>
      </c>
      <c r="AJ35" t="s">
        <v>1</v>
      </c>
      <c r="AK35" t="s">
        <v>1</v>
      </c>
      <c r="AL35" t="s">
        <v>1</v>
      </c>
      <c r="AM35" t="s">
        <v>1</v>
      </c>
      <c r="AN35" t="s">
        <v>1</v>
      </c>
      <c r="AO35" t="s">
        <v>1</v>
      </c>
      <c r="AP35" t="s">
        <v>1</v>
      </c>
      <c r="AQ35" t="s">
        <v>1</v>
      </c>
      <c r="AR35" t="s">
        <v>1</v>
      </c>
      <c r="AS35" t="s">
        <v>1</v>
      </c>
      <c r="AT35" t="s">
        <v>1</v>
      </c>
      <c r="AU35" t="s">
        <v>1</v>
      </c>
      <c r="AV35" t="s">
        <v>1</v>
      </c>
      <c r="AW35" t="s">
        <v>1</v>
      </c>
      <c r="AX35" t="s">
        <v>1</v>
      </c>
      <c r="AY35" t="s">
        <v>1</v>
      </c>
      <c r="AZ35" t="s">
        <v>1</v>
      </c>
      <c r="BA35" t="s">
        <v>1</v>
      </c>
      <c r="BB35" t="s">
        <v>1</v>
      </c>
      <c r="BC35" t="s">
        <v>1</v>
      </c>
      <c r="BD35" t="s">
        <v>1</v>
      </c>
      <c r="BE35" t="s">
        <v>1</v>
      </c>
      <c r="BF35" t="s">
        <v>1</v>
      </c>
      <c r="BG35" t="s">
        <v>1</v>
      </c>
    </row>
    <row r="36" spans="1:59" x14ac:dyDescent="0.3">
      <c r="A36" t="str">
        <f t="shared" ref="A36" si="1">_xlfn.CONCAT(CHAR(34), _xlfn.TEXTJOIN(" ",TRUE,C36:AAA36),CHAR(34))</f>
        <v>"tab-rev-12-end . tab-seal-1-end . tab-seal-2-end . tab-seal-3-end . tab-seal-4-end . tab-seal-5-end . tab-seal-6-end . tab-rapture-end . tab-seal-7-end . tab-trumpet-1-end . tab-trumpet-2-end . tab-trumpet-3-end . tab-trumpet-4-end . tab-trumpet-5-end . tab-trumpet-6-end . tab-ascension-end . tab-trumpet-7-end . tab-vial-1-end . tab-vial-2-end . tab-vial-3-end . tab-vial-4-end . tab-vial-5-end . tab-vial-6-end . tab-thief-end . tab-vial-7-end . tab-pre-1000-end . tab-1000-end . tab-end-1000-end . tab-judgement-end"</v>
      </c>
      <c r="B36" t="s">
        <v>30</v>
      </c>
      <c r="C36" t="s">
        <v>29</v>
      </c>
      <c r="D36" t="s">
        <v>1</v>
      </c>
      <c r="E36" t="s">
        <v>28</v>
      </c>
      <c r="F36" t="s">
        <v>1</v>
      </c>
      <c r="G36" t="s">
        <v>27</v>
      </c>
      <c r="H36" t="s">
        <v>1</v>
      </c>
      <c r="I36" t="s">
        <v>26</v>
      </c>
      <c r="J36" t="s">
        <v>1</v>
      </c>
      <c r="K36" t="s">
        <v>25</v>
      </c>
      <c r="L36" t="s">
        <v>1</v>
      </c>
      <c r="M36" t="s">
        <v>24</v>
      </c>
      <c r="N36" t="s">
        <v>1</v>
      </c>
      <c r="O36" t="s">
        <v>23</v>
      </c>
      <c r="P36" t="s">
        <v>1</v>
      </c>
      <c r="Q36" t="s">
        <v>22</v>
      </c>
      <c r="R36" t="s">
        <v>1</v>
      </c>
      <c r="S36" t="s">
        <v>21</v>
      </c>
      <c r="T36" t="s">
        <v>1</v>
      </c>
      <c r="U36" t="s">
        <v>20</v>
      </c>
      <c r="V36" t="s">
        <v>1</v>
      </c>
      <c r="W36" t="s">
        <v>19</v>
      </c>
      <c r="X36" t="s">
        <v>1</v>
      </c>
      <c r="Y36" t="s">
        <v>18</v>
      </c>
      <c r="Z36" t="s">
        <v>1</v>
      </c>
      <c r="AA36" t="s">
        <v>17</v>
      </c>
      <c r="AB36" t="s">
        <v>1</v>
      </c>
      <c r="AC36" t="s">
        <v>16</v>
      </c>
      <c r="AD36" t="s">
        <v>1</v>
      </c>
      <c r="AE36" t="s">
        <v>15</v>
      </c>
      <c r="AF36" t="s">
        <v>1</v>
      </c>
      <c r="AG36" t="s">
        <v>14</v>
      </c>
      <c r="AH36" t="s">
        <v>1</v>
      </c>
      <c r="AI36" t="s">
        <v>13</v>
      </c>
      <c r="AJ36" t="s">
        <v>1</v>
      </c>
      <c r="AK36" t="s">
        <v>12</v>
      </c>
      <c r="AL36" t="s">
        <v>1</v>
      </c>
      <c r="AM36" t="s">
        <v>11</v>
      </c>
      <c r="AN36" t="s">
        <v>1</v>
      </c>
      <c r="AO36" t="s">
        <v>10</v>
      </c>
      <c r="AP36" t="s">
        <v>1</v>
      </c>
      <c r="AQ36" t="s">
        <v>9</v>
      </c>
      <c r="AR36" t="s">
        <v>1</v>
      </c>
      <c r="AS36" t="s">
        <v>8</v>
      </c>
      <c r="AT36" t="s">
        <v>1</v>
      </c>
      <c r="AU36" t="s">
        <v>7</v>
      </c>
      <c r="AV36" t="s">
        <v>1</v>
      </c>
      <c r="AW36" t="s">
        <v>6</v>
      </c>
      <c r="AX36" t="s">
        <v>1</v>
      </c>
      <c r="AY36" t="s">
        <v>5</v>
      </c>
      <c r="AZ36" t="s">
        <v>1</v>
      </c>
      <c r="BA36" t="s">
        <v>4</v>
      </c>
      <c r="BB36" t="s">
        <v>1</v>
      </c>
      <c r="BC36" t="s">
        <v>3</v>
      </c>
      <c r="BD36" t="s">
        <v>1</v>
      </c>
      <c r="BE36" t="s">
        <v>2</v>
      </c>
      <c r="BF36" t="s">
        <v>1</v>
      </c>
      <c r="BG36" t="s">
        <v>0</v>
      </c>
    </row>
  </sheetData>
  <conditionalFormatting sqref="C4:BG36">
    <cfRule type="cellIs" dxfId="0" priority="1" operator="equal">
      <formula>""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AFA04-E5ED-4E6C-A668-3C7ECA0F6634}">
  <dimension ref="A1:F58"/>
  <sheetViews>
    <sheetView topLeftCell="A19" workbookViewId="0">
      <selection activeCell="F58" sqref="F58"/>
    </sheetView>
  </sheetViews>
  <sheetFormatPr defaultRowHeight="14.4" x14ac:dyDescent="0.3"/>
  <cols>
    <col min="1" max="1" width="5.44140625" customWidth="1"/>
    <col min="4" max="4" width="12.33203125" bestFit="1" customWidth="1"/>
    <col min="5" max="5" width="12.33203125" customWidth="1"/>
  </cols>
  <sheetData>
    <row r="1" spans="1:6" x14ac:dyDescent="0.3">
      <c r="B1" t="s">
        <v>132</v>
      </c>
      <c r="C1">
        <f>COUNTA(D10:ZN10)</f>
        <v>3</v>
      </c>
    </row>
    <row r="2" spans="1:6" x14ac:dyDescent="0.3">
      <c r="B2" t="s">
        <v>131</v>
      </c>
      <c r="C2">
        <f>COUNTA(B10:B136)</f>
        <v>49</v>
      </c>
    </row>
    <row r="3" spans="1:6" x14ac:dyDescent="0.3">
      <c r="C3" t="s">
        <v>30</v>
      </c>
    </row>
    <row r="4" spans="1:6" x14ac:dyDescent="0.3">
      <c r="A4">
        <v>8</v>
      </c>
      <c r="B4" t="str">
        <f t="shared" ref="B4:B20" si="0">_xlfn.CONCAT(CHAR(34), _xlfn.TEXTJOIN(" ",TRUE,D4:ZN4),CHAR(34))</f>
        <v>". . ."</v>
      </c>
      <c r="C4" t="s">
        <v>30</v>
      </c>
      <c r="D4" t="s">
        <v>1</v>
      </c>
      <c r="E4" t="s">
        <v>1</v>
      </c>
      <c r="F4" t="s">
        <v>1</v>
      </c>
    </row>
    <row r="5" spans="1:6" x14ac:dyDescent="0.3">
      <c r="B5" t="str">
        <f t="shared" si="0"/>
        <v>". . ."</v>
      </c>
      <c r="C5" t="s">
        <v>30</v>
      </c>
      <c r="D5" t="s">
        <v>1</v>
      </c>
      <c r="E5" t="s">
        <v>1</v>
      </c>
      <c r="F5" t="s">
        <v>1</v>
      </c>
    </row>
    <row r="6" spans="1:6" x14ac:dyDescent="0.3">
      <c r="A6">
        <v>9</v>
      </c>
      <c r="B6" t="str">
        <f t="shared" si="0"/>
        <v>"rev-5-1 j-rev-5-4 j-rev-5-4"</v>
      </c>
      <c r="C6" t="s">
        <v>30</v>
      </c>
      <c r="D6" t="s">
        <v>371</v>
      </c>
      <c r="E6" t="s">
        <v>372</v>
      </c>
      <c r="F6" t="s">
        <v>372</v>
      </c>
    </row>
    <row r="7" spans="1:6" x14ac:dyDescent="0.3">
      <c r="B7" t="str">
        <f t="shared" si="0"/>
        <v>". . ."</v>
      </c>
      <c r="C7" t="s">
        <v>30</v>
      </c>
      <c r="D7" t="s">
        <v>1</v>
      </c>
      <c r="E7" t="s">
        <v>1</v>
      </c>
      <c r="F7" t="s">
        <v>1</v>
      </c>
    </row>
    <row r="8" spans="1:6" x14ac:dyDescent="0.3">
      <c r="A8">
        <v>10</v>
      </c>
      <c r="B8" t="str">
        <f t="shared" si="0"/>
        <v>". rev-6-1 rev-6-2"</v>
      </c>
      <c r="C8" t="s">
        <v>30</v>
      </c>
      <c r="D8" t="s">
        <v>1</v>
      </c>
      <c r="E8" t="s">
        <v>134</v>
      </c>
      <c r="F8" t="s">
        <v>133</v>
      </c>
    </row>
    <row r="9" spans="1:6" x14ac:dyDescent="0.3">
      <c r="B9" t="str">
        <f t="shared" si="0"/>
        <v>". . ."</v>
      </c>
      <c r="C9" t="s">
        <v>30</v>
      </c>
      <c r="D9" t="s">
        <v>1</v>
      </c>
      <c r="E9" t="s">
        <v>1</v>
      </c>
      <c r="F9" t="s">
        <v>1</v>
      </c>
    </row>
    <row r="10" spans="1:6" x14ac:dyDescent="0.3">
      <c r="A10">
        <v>11</v>
      </c>
      <c r="B10" t="str">
        <f t="shared" si="0"/>
        <v>". . ."</v>
      </c>
      <c r="C10" t="s">
        <v>30</v>
      </c>
      <c r="D10" t="s">
        <v>1</v>
      </c>
      <c r="E10" t="s">
        <v>1</v>
      </c>
      <c r="F10" t="s">
        <v>1</v>
      </c>
    </row>
    <row r="11" spans="1:6" x14ac:dyDescent="0.3">
      <c r="B11" t="str">
        <f t="shared" si="0"/>
        <v>". . ."</v>
      </c>
      <c r="C11" t="s">
        <v>30</v>
      </c>
      <c r="D11" t="s">
        <v>1</v>
      </c>
      <c r="E11" t="s">
        <v>1</v>
      </c>
      <c r="F11" t="s">
        <v>1</v>
      </c>
    </row>
    <row r="12" spans="1:6" x14ac:dyDescent="0.3">
      <c r="A12">
        <v>12</v>
      </c>
      <c r="B12" t="str">
        <f t="shared" si="0"/>
        <v>". . ."</v>
      </c>
      <c r="C12" t="s">
        <v>30</v>
      </c>
      <c r="D12" t="s">
        <v>1</v>
      </c>
      <c r="E12" t="s">
        <v>1</v>
      </c>
      <c r="F12" t="s">
        <v>1</v>
      </c>
    </row>
    <row r="13" spans="1:6" x14ac:dyDescent="0.3">
      <c r="B13" t="str">
        <f t="shared" si="0"/>
        <v>". . ."</v>
      </c>
      <c r="C13" t="s">
        <v>30</v>
      </c>
      <c r="D13" t="s">
        <v>1</v>
      </c>
      <c r="E13" t="s">
        <v>1</v>
      </c>
      <c r="F13" t="s">
        <v>1</v>
      </c>
    </row>
    <row r="14" spans="1:6" x14ac:dyDescent="0.3">
      <c r="A14">
        <v>13</v>
      </c>
      <c r="B14" t="str">
        <f t="shared" si="0"/>
        <v>". . ."</v>
      </c>
      <c r="C14" t="s">
        <v>30</v>
      </c>
      <c r="D14" t="s">
        <v>1</v>
      </c>
      <c r="E14" t="s">
        <v>1</v>
      </c>
      <c r="F14" t="s">
        <v>1</v>
      </c>
    </row>
    <row r="15" spans="1:6" x14ac:dyDescent="0.3">
      <c r="B15" t="str">
        <f t="shared" si="0"/>
        <v>". . ."</v>
      </c>
      <c r="C15" t="s">
        <v>30</v>
      </c>
      <c r="D15" t="s">
        <v>1</v>
      </c>
      <c r="E15" t="s">
        <v>1</v>
      </c>
      <c r="F15" t="s">
        <v>1</v>
      </c>
    </row>
    <row r="16" spans="1:6" x14ac:dyDescent="0.3">
      <c r="A16">
        <v>14</v>
      </c>
      <c r="B16" t="str">
        <f t="shared" si="0"/>
        <v>". . dan-12-1"</v>
      </c>
      <c r="C16" t="s">
        <v>30</v>
      </c>
      <c r="D16" t="s">
        <v>1</v>
      </c>
      <c r="E16" t="s">
        <v>1</v>
      </c>
      <c r="F16" t="s">
        <v>398</v>
      </c>
    </row>
    <row r="17" spans="1:6" x14ac:dyDescent="0.3">
      <c r="B17" t="str">
        <f t="shared" si="0"/>
        <v>". . ."</v>
      </c>
      <c r="C17" t="s">
        <v>30</v>
      </c>
      <c r="D17" t="s">
        <v>1</v>
      </c>
      <c r="E17" t="s">
        <v>1</v>
      </c>
      <c r="F17" t="s">
        <v>1</v>
      </c>
    </row>
    <row r="18" spans="1:6" x14ac:dyDescent="0.3">
      <c r="A18">
        <v>15</v>
      </c>
      <c r="B18" t="str">
        <f t="shared" si="0"/>
        <v>". . ."</v>
      </c>
      <c r="C18" t="s">
        <v>30</v>
      </c>
      <c r="D18" t="s">
        <v>1</v>
      </c>
      <c r="E18" t="s">
        <v>1</v>
      </c>
      <c r="F18" t="s">
        <v>1</v>
      </c>
    </row>
    <row r="19" spans="1:6" x14ac:dyDescent="0.3">
      <c r="B19" t="str">
        <f t="shared" si="0"/>
        <v>". . ."</v>
      </c>
      <c r="C19" t="s">
        <v>30</v>
      </c>
      <c r="D19" t="s">
        <v>1</v>
      </c>
      <c r="E19" t="s">
        <v>1</v>
      </c>
      <c r="F19" t="s">
        <v>1</v>
      </c>
    </row>
    <row r="20" spans="1:6" x14ac:dyDescent="0.3">
      <c r="A20">
        <v>16</v>
      </c>
      <c r="B20" t="str">
        <f t="shared" si="0"/>
        <v>". . ."</v>
      </c>
      <c r="C20" t="s">
        <v>30</v>
      </c>
      <c r="D20" t="s">
        <v>1</v>
      </c>
      <c r="E20" t="s">
        <v>1</v>
      </c>
      <c r="F20" t="s">
        <v>1</v>
      </c>
    </row>
    <row r="21" spans="1:6" x14ac:dyDescent="0.3">
      <c r="B21" t="str">
        <f t="shared" ref="B21:B32" si="1">_xlfn.CONCAT(CHAR(34), _xlfn.TEXTJOIN(" ",TRUE,D21:ZN21),CHAR(34))</f>
        <v>". . ."</v>
      </c>
      <c r="C21" t="s">
        <v>30</v>
      </c>
      <c r="D21" t="s">
        <v>1</v>
      </c>
      <c r="E21" t="s">
        <v>1</v>
      </c>
      <c r="F21" t="s">
        <v>1</v>
      </c>
    </row>
    <row r="22" spans="1:6" x14ac:dyDescent="0.3">
      <c r="A22">
        <v>17</v>
      </c>
      <c r="B22" t="str">
        <f t="shared" si="1"/>
        <v>". . ."</v>
      </c>
      <c r="C22" t="s">
        <v>30</v>
      </c>
      <c r="D22" t="s">
        <v>1</v>
      </c>
      <c r="E22" t="s">
        <v>1</v>
      </c>
      <c r="F22" t="s">
        <v>1</v>
      </c>
    </row>
    <row r="23" spans="1:6" x14ac:dyDescent="0.3">
      <c r="B23" t="str">
        <f t="shared" si="1"/>
        <v>". . ."</v>
      </c>
      <c r="C23" t="s">
        <v>30</v>
      </c>
      <c r="D23" t="s">
        <v>1</v>
      </c>
      <c r="E23" t="s">
        <v>1</v>
      </c>
      <c r="F23" t="s">
        <v>1</v>
      </c>
    </row>
    <row r="24" spans="1:6" x14ac:dyDescent="0.3">
      <c r="A24">
        <v>18</v>
      </c>
      <c r="B24" t="str">
        <f t="shared" si="1"/>
        <v>". . ."</v>
      </c>
      <c r="C24" t="s">
        <v>30</v>
      </c>
      <c r="D24" t="s">
        <v>1</v>
      </c>
      <c r="E24" t="s">
        <v>1</v>
      </c>
      <c r="F24" t="s">
        <v>1</v>
      </c>
    </row>
    <row r="25" spans="1:6" x14ac:dyDescent="0.3">
      <c r="B25" t="str">
        <f t="shared" si="1"/>
        <v>". . ."</v>
      </c>
      <c r="C25" t="s">
        <v>30</v>
      </c>
      <c r="D25" t="s">
        <v>1</v>
      </c>
      <c r="E25" t="s">
        <v>1</v>
      </c>
      <c r="F25" t="s">
        <v>1</v>
      </c>
    </row>
    <row r="26" spans="1:6" x14ac:dyDescent="0.3">
      <c r="A26">
        <v>19</v>
      </c>
      <c r="B26" t="str">
        <f t="shared" si="1"/>
        <v>". . ."</v>
      </c>
      <c r="C26" t="s">
        <v>30</v>
      </c>
      <c r="D26" t="s">
        <v>1</v>
      </c>
      <c r="E26" t="s">
        <v>1</v>
      </c>
      <c r="F26" t="s">
        <v>1</v>
      </c>
    </row>
    <row r="27" spans="1:6" x14ac:dyDescent="0.3">
      <c r="B27" t="str">
        <f t="shared" si="1"/>
        <v>". . ."</v>
      </c>
      <c r="C27" t="s">
        <v>30</v>
      </c>
      <c r="D27" t="s">
        <v>1</v>
      </c>
      <c r="E27" t="s">
        <v>1</v>
      </c>
      <c r="F27" t="s">
        <v>1</v>
      </c>
    </row>
    <row r="28" spans="1:6" x14ac:dyDescent="0.3">
      <c r="A28">
        <v>20</v>
      </c>
      <c r="B28" t="str">
        <f t="shared" si="1"/>
        <v>". . ."</v>
      </c>
      <c r="C28" t="s">
        <v>30</v>
      </c>
      <c r="D28" t="s">
        <v>1</v>
      </c>
      <c r="E28" t="s">
        <v>1</v>
      </c>
      <c r="F28" t="s">
        <v>1</v>
      </c>
    </row>
    <row r="29" spans="1:6" x14ac:dyDescent="0.3">
      <c r="B29" t="str">
        <f t="shared" si="1"/>
        <v>". . ."</v>
      </c>
      <c r="C29" t="s">
        <v>30</v>
      </c>
      <c r="D29" t="s">
        <v>1</v>
      </c>
      <c r="E29" t="s">
        <v>1</v>
      </c>
      <c r="F29" t="s">
        <v>1</v>
      </c>
    </row>
    <row r="30" spans="1:6" x14ac:dyDescent="0.3">
      <c r="A30">
        <v>21</v>
      </c>
      <c r="B30" t="str">
        <f t="shared" si="1"/>
        <v>". . ."</v>
      </c>
      <c r="C30" t="s">
        <v>30</v>
      </c>
      <c r="D30" t="s">
        <v>1</v>
      </c>
      <c r="E30" t="s">
        <v>1</v>
      </c>
      <c r="F30" t="s">
        <v>1</v>
      </c>
    </row>
    <row r="31" spans="1:6" x14ac:dyDescent="0.3">
      <c r="B31" t="str">
        <f t="shared" si="1"/>
        <v>". . ."</v>
      </c>
      <c r="C31" t="s">
        <v>30</v>
      </c>
      <c r="D31" t="s">
        <v>1</v>
      </c>
      <c r="E31" t="s">
        <v>1</v>
      </c>
      <c r="F31" t="s">
        <v>1</v>
      </c>
    </row>
    <row r="32" spans="1:6" x14ac:dyDescent="0.3">
      <c r="A32">
        <v>22</v>
      </c>
      <c r="B32" t="str">
        <f t="shared" si="1"/>
        <v>". j-es2-15-2-s es2-15-2"</v>
      </c>
      <c r="C32" t="s">
        <v>30</v>
      </c>
      <c r="D32" t="s">
        <v>1</v>
      </c>
      <c r="E32" t="s">
        <v>383</v>
      </c>
      <c r="F32" t="s">
        <v>378</v>
      </c>
    </row>
    <row r="33" spans="1:6" x14ac:dyDescent="0.3">
      <c r="B33" t="str">
        <f t="shared" ref="B33:B58" si="2">_xlfn.CONCAT(CHAR(34), _xlfn.TEXTJOIN(" ",TRUE,D33:ZN33),CHAR(34))</f>
        <v>". . ."</v>
      </c>
      <c r="C33" t="s">
        <v>30</v>
      </c>
      <c r="D33" t="s">
        <v>1</v>
      </c>
      <c r="E33" t="s">
        <v>1</v>
      </c>
      <c r="F33" t="s">
        <v>1</v>
      </c>
    </row>
    <row r="34" spans="1:6" x14ac:dyDescent="0.3">
      <c r="A34">
        <v>23</v>
      </c>
      <c r="B34" t="str">
        <f t="shared" si="2"/>
        <v>". . ."</v>
      </c>
      <c r="C34" t="s">
        <v>30</v>
      </c>
      <c r="D34" t="s">
        <v>1</v>
      </c>
      <c r="E34" t="s">
        <v>1</v>
      </c>
      <c r="F34" t="s">
        <v>1</v>
      </c>
    </row>
    <row r="35" spans="1:6" x14ac:dyDescent="0.3">
      <c r="B35" t="str">
        <f t="shared" si="2"/>
        <v>". . ."</v>
      </c>
      <c r="C35" t="s">
        <v>30</v>
      </c>
      <c r="D35" t="s">
        <v>1</v>
      </c>
      <c r="E35" t="s">
        <v>1</v>
      </c>
      <c r="F35" t="s">
        <v>1</v>
      </c>
    </row>
    <row r="36" spans="1:6" x14ac:dyDescent="0.3">
      <c r="A36">
        <v>24</v>
      </c>
      <c r="B36" t="str">
        <f t="shared" si="2"/>
        <v>". . ."</v>
      </c>
      <c r="C36" t="s">
        <v>30</v>
      </c>
      <c r="D36" t="s">
        <v>1</v>
      </c>
      <c r="E36" t="s">
        <v>1</v>
      </c>
      <c r="F36" t="s">
        <v>1</v>
      </c>
    </row>
    <row r="37" spans="1:6" x14ac:dyDescent="0.3">
      <c r="B37" t="str">
        <f t="shared" si="2"/>
        <v>". . ."</v>
      </c>
      <c r="C37" t="s">
        <v>30</v>
      </c>
      <c r="D37" t="s">
        <v>1</v>
      </c>
      <c r="E37" t="s">
        <v>1</v>
      </c>
      <c r="F37" t="s">
        <v>1</v>
      </c>
    </row>
    <row r="38" spans="1:6" x14ac:dyDescent="0.3">
      <c r="A38">
        <v>25</v>
      </c>
      <c r="B38" t="str">
        <f t="shared" si="2"/>
        <v>". . ."</v>
      </c>
      <c r="C38" t="s">
        <v>30</v>
      </c>
      <c r="D38" t="s">
        <v>1</v>
      </c>
      <c r="E38" t="s">
        <v>1</v>
      </c>
      <c r="F38" t="s">
        <v>1</v>
      </c>
    </row>
    <row r="39" spans="1:6" x14ac:dyDescent="0.3">
      <c r="B39" t="str">
        <f t="shared" si="2"/>
        <v>". . ."</v>
      </c>
      <c r="C39" t="s">
        <v>30</v>
      </c>
      <c r="D39" t="s">
        <v>1</v>
      </c>
      <c r="E39" t="s">
        <v>1</v>
      </c>
      <c r="F39" t="s">
        <v>1</v>
      </c>
    </row>
    <row r="40" spans="1:6" x14ac:dyDescent="0.3">
      <c r="A40">
        <v>26</v>
      </c>
      <c r="B40" t="str">
        <f t="shared" si="2"/>
        <v>". . ."</v>
      </c>
      <c r="C40" t="s">
        <v>30</v>
      </c>
      <c r="D40" t="s">
        <v>1</v>
      </c>
      <c r="E40" t="s">
        <v>1</v>
      </c>
      <c r="F40" t="s">
        <v>1</v>
      </c>
    </row>
    <row r="41" spans="1:6" x14ac:dyDescent="0.3">
      <c r="B41" t="str">
        <f t="shared" si="2"/>
        <v>". . ."</v>
      </c>
      <c r="C41" t="s">
        <v>30</v>
      </c>
      <c r="D41" t="s">
        <v>1</v>
      </c>
      <c r="E41" t="s">
        <v>1</v>
      </c>
      <c r="F41" t="s">
        <v>1</v>
      </c>
    </row>
    <row r="42" spans="1:6" x14ac:dyDescent="0.3">
      <c r="A42">
        <v>27</v>
      </c>
      <c r="B42" t="str">
        <f t="shared" si="2"/>
        <v>". . ."</v>
      </c>
      <c r="C42" t="s">
        <v>30</v>
      </c>
      <c r="D42" t="s">
        <v>1</v>
      </c>
      <c r="E42" t="s">
        <v>1</v>
      </c>
      <c r="F42" t="s">
        <v>1</v>
      </c>
    </row>
    <row r="43" spans="1:6" x14ac:dyDescent="0.3">
      <c r="B43" t="str">
        <f t="shared" si="2"/>
        <v>". . ."</v>
      </c>
      <c r="C43" t="s">
        <v>30</v>
      </c>
      <c r="D43" t="s">
        <v>1</v>
      </c>
      <c r="E43" t="s">
        <v>1</v>
      </c>
      <c r="F43" t="s">
        <v>1</v>
      </c>
    </row>
    <row r="44" spans="1:6" x14ac:dyDescent="0.3">
      <c r="A44">
        <v>28</v>
      </c>
      <c r="B44" t="str">
        <f t="shared" si="2"/>
        <v>". . ."</v>
      </c>
      <c r="C44" t="s">
        <v>30</v>
      </c>
      <c r="D44" t="s">
        <v>1</v>
      </c>
      <c r="E44" t="s">
        <v>1</v>
      </c>
      <c r="F44" t="s">
        <v>1</v>
      </c>
    </row>
    <row r="45" spans="1:6" x14ac:dyDescent="0.3">
      <c r="B45" t="str">
        <f t="shared" si="2"/>
        <v>". . ."</v>
      </c>
      <c r="C45" t="s">
        <v>30</v>
      </c>
      <c r="D45" t="s">
        <v>1</v>
      </c>
      <c r="E45" t="s">
        <v>1</v>
      </c>
      <c r="F45" t="s">
        <v>1</v>
      </c>
    </row>
    <row r="46" spans="1:6" x14ac:dyDescent="0.3">
      <c r="A46">
        <v>29</v>
      </c>
      <c r="B46" t="str">
        <f t="shared" si="2"/>
        <v>". . ."</v>
      </c>
      <c r="C46" t="s">
        <v>30</v>
      </c>
      <c r="D46" t="s">
        <v>1</v>
      </c>
      <c r="E46" t="s">
        <v>1</v>
      </c>
      <c r="F46" t="s">
        <v>1</v>
      </c>
    </row>
    <row r="47" spans="1:6" x14ac:dyDescent="0.3">
      <c r="B47" t="str">
        <f t="shared" si="2"/>
        <v>". . ."</v>
      </c>
      <c r="C47" t="s">
        <v>30</v>
      </c>
      <c r="D47" t="s">
        <v>1</v>
      </c>
      <c r="E47" t="s">
        <v>1</v>
      </c>
      <c r="F47" t="s">
        <v>1</v>
      </c>
    </row>
    <row r="48" spans="1:6" x14ac:dyDescent="0.3">
      <c r="A48">
        <v>30</v>
      </c>
      <c r="B48" t="str">
        <f t="shared" si="2"/>
        <v>". . ."</v>
      </c>
      <c r="C48" t="s">
        <v>30</v>
      </c>
      <c r="D48" t="s">
        <v>1</v>
      </c>
      <c r="E48" t="s">
        <v>1</v>
      </c>
      <c r="F48" t="s">
        <v>1</v>
      </c>
    </row>
    <row r="49" spans="1:6" x14ac:dyDescent="0.3">
      <c r="B49" t="str">
        <f t="shared" si="2"/>
        <v>". . ."</v>
      </c>
      <c r="C49" t="s">
        <v>30</v>
      </c>
      <c r="D49" t="s">
        <v>1</v>
      </c>
      <c r="E49" t="s">
        <v>1</v>
      </c>
      <c r="F49" t="s">
        <v>1</v>
      </c>
    </row>
    <row r="50" spans="1:6" x14ac:dyDescent="0.3">
      <c r="A50">
        <v>31</v>
      </c>
      <c r="B50" t="str">
        <f t="shared" si="2"/>
        <v>". . ."</v>
      </c>
      <c r="C50" t="s">
        <v>30</v>
      </c>
      <c r="D50" t="s">
        <v>1</v>
      </c>
      <c r="E50" t="s">
        <v>1</v>
      </c>
      <c r="F50" t="s">
        <v>1</v>
      </c>
    </row>
    <row r="51" spans="1:6" x14ac:dyDescent="0.3">
      <c r="B51" t="str">
        <f t="shared" si="2"/>
        <v>". . ."</v>
      </c>
      <c r="C51" t="s">
        <v>30</v>
      </c>
      <c r="D51" t="s">
        <v>1</v>
      </c>
      <c r="E51" t="s">
        <v>1</v>
      </c>
      <c r="F51" t="s">
        <v>1</v>
      </c>
    </row>
    <row r="52" spans="1:6" x14ac:dyDescent="0.3">
      <c r="A52">
        <v>32</v>
      </c>
      <c r="B52" t="str">
        <f t="shared" si="2"/>
        <v>". . ."</v>
      </c>
      <c r="C52" t="s">
        <v>30</v>
      </c>
      <c r="D52" t="s">
        <v>1</v>
      </c>
      <c r="E52" t="s">
        <v>1</v>
      </c>
      <c r="F52" t="s">
        <v>1</v>
      </c>
    </row>
    <row r="53" spans="1:6" x14ac:dyDescent="0.3">
      <c r="B53" t="str">
        <f t="shared" si="2"/>
        <v>". . ."</v>
      </c>
      <c r="C53" t="s">
        <v>30</v>
      </c>
      <c r="D53" t="s">
        <v>1</v>
      </c>
      <c r="E53" t="s">
        <v>1</v>
      </c>
      <c r="F53" t="s">
        <v>1</v>
      </c>
    </row>
    <row r="54" spans="1:6" x14ac:dyDescent="0.3">
      <c r="A54">
        <v>33</v>
      </c>
      <c r="B54" t="str">
        <f t="shared" si="2"/>
        <v>". . ."</v>
      </c>
      <c r="C54" t="s">
        <v>30</v>
      </c>
      <c r="D54" t="s">
        <v>1</v>
      </c>
      <c r="E54" t="s">
        <v>1</v>
      </c>
      <c r="F54" t="s">
        <v>1</v>
      </c>
    </row>
    <row r="55" spans="1:6" x14ac:dyDescent="0.3">
      <c r="B55" t="str">
        <f t="shared" si="2"/>
        <v>". . ."</v>
      </c>
      <c r="C55" t="s">
        <v>30</v>
      </c>
      <c r="D55" t="s">
        <v>1</v>
      </c>
      <c r="E55" t="s">
        <v>1</v>
      </c>
      <c r="F55" t="s">
        <v>1</v>
      </c>
    </row>
    <row r="56" spans="1:6" x14ac:dyDescent="0.3">
      <c r="A56">
        <v>34</v>
      </c>
      <c r="B56" t="str">
        <f t="shared" si="2"/>
        <v>". . ."</v>
      </c>
      <c r="C56" t="s">
        <v>30</v>
      </c>
      <c r="D56" t="s">
        <v>1</v>
      </c>
      <c r="E56" t="s">
        <v>1</v>
      </c>
      <c r="F56" t="s">
        <v>1</v>
      </c>
    </row>
    <row r="57" spans="1:6" x14ac:dyDescent="0.3">
      <c r="B57" t="str">
        <f t="shared" si="2"/>
        <v>". . ."</v>
      </c>
      <c r="C57" t="s">
        <v>30</v>
      </c>
      <c r="D57" t="s">
        <v>1</v>
      </c>
      <c r="E57" t="s">
        <v>1</v>
      </c>
      <c r="F57" t="s">
        <v>1</v>
      </c>
    </row>
    <row r="58" spans="1:6" x14ac:dyDescent="0.3">
      <c r="A58">
        <v>35</v>
      </c>
      <c r="B58" t="str">
        <f t="shared" si="2"/>
        <v>"dan-11-1 dan-11-2a j-dan-11-2a"</v>
      </c>
      <c r="C58" t="s">
        <v>30</v>
      </c>
      <c r="D58" t="s">
        <v>404</v>
      </c>
      <c r="E58" t="s">
        <v>405</v>
      </c>
      <c r="F58" t="s">
        <v>406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C9E30-98E1-4091-A969-C01ADF1D32A5}">
  <dimension ref="A1:D58"/>
  <sheetViews>
    <sheetView workbookViewId="0">
      <selection activeCell="B4" sqref="B4:B16"/>
    </sheetView>
  </sheetViews>
  <sheetFormatPr defaultRowHeight="14.4" x14ac:dyDescent="0.3"/>
  <cols>
    <col min="1" max="1" width="5.44140625" customWidth="1"/>
    <col min="4" max="4" width="12.33203125" bestFit="1" customWidth="1"/>
  </cols>
  <sheetData>
    <row r="1" spans="1:4" x14ac:dyDescent="0.3">
      <c r="B1" t="s">
        <v>132</v>
      </c>
      <c r="C1">
        <f>COUNTA(D10:ZM10)</f>
        <v>1</v>
      </c>
    </row>
    <row r="2" spans="1:4" x14ac:dyDescent="0.3">
      <c r="B2" t="s">
        <v>131</v>
      </c>
      <c r="C2">
        <f>COUNTA(B10:B136)</f>
        <v>11</v>
      </c>
    </row>
    <row r="3" spans="1:4" x14ac:dyDescent="0.3">
      <c r="C3" t="s">
        <v>30</v>
      </c>
    </row>
    <row r="4" spans="1:4" x14ac:dyDescent="0.3">
      <c r="A4">
        <v>8</v>
      </c>
      <c r="B4" t="str">
        <f t="shared" ref="B4:B20" si="0">_xlfn.CONCAT(CHAR(34), _xlfn.TEXTJOIN(" ",TRUE,D4:ZM4),CHAR(34))</f>
        <v>"."</v>
      </c>
      <c r="C4" t="s">
        <v>30</v>
      </c>
      <c r="D4" t="s">
        <v>1</v>
      </c>
    </row>
    <row r="5" spans="1:4" x14ac:dyDescent="0.3">
      <c r="B5" t="str">
        <f t="shared" si="0"/>
        <v>"."</v>
      </c>
      <c r="C5" t="s">
        <v>30</v>
      </c>
      <c r="D5" t="s">
        <v>1</v>
      </c>
    </row>
    <row r="6" spans="1:4" x14ac:dyDescent="0.3">
      <c r="A6">
        <v>9</v>
      </c>
      <c r="B6" t="str">
        <f t="shared" si="0"/>
        <v>"."</v>
      </c>
      <c r="C6" t="s">
        <v>30</v>
      </c>
      <c r="D6" t="s">
        <v>1</v>
      </c>
    </row>
    <row r="7" spans="1:4" x14ac:dyDescent="0.3">
      <c r="B7" t="str">
        <f t="shared" si="0"/>
        <v>"."</v>
      </c>
      <c r="C7" t="s">
        <v>30</v>
      </c>
      <c r="D7" t="s">
        <v>1</v>
      </c>
    </row>
    <row r="8" spans="1:4" x14ac:dyDescent="0.3">
      <c r="A8">
        <v>10</v>
      </c>
      <c r="B8" t="str">
        <f t="shared" si="0"/>
        <v>"rev-6-3"</v>
      </c>
      <c r="C8" t="s">
        <v>30</v>
      </c>
      <c r="D8" t="s">
        <v>135</v>
      </c>
    </row>
    <row r="9" spans="1:4" x14ac:dyDescent="0.3">
      <c r="B9" t="str">
        <f t="shared" si="0"/>
        <v>"."</v>
      </c>
      <c r="C9" t="s">
        <v>30</v>
      </c>
      <c r="D9" t="s">
        <v>1</v>
      </c>
    </row>
    <row r="10" spans="1:4" x14ac:dyDescent="0.3">
      <c r="A10">
        <v>11</v>
      </c>
      <c r="B10" t="str">
        <f t="shared" si="0"/>
        <v>"zec-1-7"</v>
      </c>
      <c r="C10" t="s">
        <v>30</v>
      </c>
      <c r="D10" t="s">
        <v>415</v>
      </c>
    </row>
    <row r="11" spans="1:4" x14ac:dyDescent="0.3">
      <c r="B11" t="str">
        <f t="shared" si="0"/>
        <v>"."</v>
      </c>
      <c r="C11" t="s">
        <v>30</v>
      </c>
      <c r="D11" t="s">
        <v>1</v>
      </c>
    </row>
    <row r="12" spans="1:4" x14ac:dyDescent="0.3">
      <c r="A12">
        <v>12</v>
      </c>
      <c r="B12" t="str">
        <f t="shared" si="0"/>
        <v>"."</v>
      </c>
      <c r="C12" t="s">
        <v>30</v>
      </c>
      <c r="D12" t="s">
        <v>1</v>
      </c>
    </row>
    <row r="13" spans="1:4" x14ac:dyDescent="0.3">
      <c r="B13" t="str">
        <f t="shared" si="0"/>
        <v>"."</v>
      </c>
      <c r="C13" t="s">
        <v>30</v>
      </c>
      <c r="D13" t="s">
        <v>1</v>
      </c>
    </row>
    <row r="14" spans="1:4" x14ac:dyDescent="0.3">
      <c r="A14">
        <v>13</v>
      </c>
      <c r="B14" t="str">
        <f t="shared" si="0"/>
        <v>"."</v>
      </c>
      <c r="C14" t="s">
        <v>30</v>
      </c>
      <c r="D14" t="s">
        <v>1</v>
      </c>
    </row>
    <row r="15" spans="1:4" x14ac:dyDescent="0.3">
      <c r="B15" t="str">
        <f t="shared" si="0"/>
        <v>"."</v>
      </c>
      <c r="C15" t="s">
        <v>30</v>
      </c>
      <c r="D15" t="s">
        <v>1</v>
      </c>
    </row>
    <row r="16" spans="1:4" x14ac:dyDescent="0.3">
      <c r="A16">
        <v>14</v>
      </c>
      <c r="B16" t="str">
        <f t="shared" si="0"/>
        <v>"dan-12-1b"</v>
      </c>
      <c r="C16" t="s">
        <v>30</v>
      </c>
      <c r="D16" t="s">
        <v>403</v>
      </c>
    </row>
    <row r="17" spans="1:4" x14ac:dyDescent="0.3">
      <c r="B17" t="str">
        <f t="shared" si="0"/>
        <v>"."</v>
      </c>
      <c r="C17" t="s">
        <v>30</v>
      </c>
      <c r="D17" t="s">
        <v>1</v>
      </c>
    </row>
    <row r="18" spans="1:4" x14ac:dyDescent="0.3">
      <c r="A18">
        <v>15</v>
      </c>
      <c r="B18" t="str">
        <f t="shared" si="0"/>
        <v>"."</v>
      </c>
      <c r="C18" t="s">
        <v>30</v>
      </c>
      <c r="D18" t="s">
        <v>1</v>
      </c>
    </row>
    <row r="19" spans="1:4" x14ac:dyDescent="0.3">
      <c r="B19" t="str">
        <f t="shared" si="0"/>
        <v>"."</v>
      </c>
      <c r="C19" t="s">
        <v>30</v>
      </c>
      <c r="D19" t="s">
        <v>1</v>
      </c>
    </row>
    <row r="20" spans="1:4" x14ac:dyDescent="0.3">
      <c r="A20">
        <v>16</v>
      </c>
      <c r="B20" t="str">
        <f t="shared" si="0"/>
        <v>"."</v>
      </c>
      <c r="C20" t="s">
        <v>30</v>
      </c>
      <c r="D20" t="s">
        <v>1</v>
      </c>
    </row>
    <row r="22" spans="1:4" x14ac:dyDescent="0.3">
      <c r="A22">
        <v>17</v>
      </c>
    </row>
    <row r="24" spans="1:4" x14ac:dyDescent="0.3">
      <c r="A24">
        <v>18</v>
      </c>
    </row>
    <row r="26" spans="1:4" x14ac:dyDescent="0.3">
      <c r="A26">
        <v>19</v>
      </c>
    </row>
    <row r="28" spans="1:4" x14ac:dyDescent="0.3">
      <c r="A28">
        <v>20</v>
      </c>
    </row>
    <row r="30" spans="1:4" x14ac:dyDescent="0.3">
      <c r="A30">
        <v>21</v>
      </c>
    </row>
    <row r="32" spans="1:4" x14ac:dyDescent="0.3">
      <c r="A32">
        <v>22</v>
      </c>
    </row>
    <row r="34" spans="1:1" x14ac:dyDescent="0.3">
      <c r="A34">
        <v>23</v>
      </c>
    </row>
    <row r="36" spans="1:1" x14ac:dyDescent="0.3">
      <c r="A36">
        <v>24</v>
      </c>
    </row>
    <row r="38" spans="1:1" x14ac:dyDescent="0.3">
      <c r="A38">
        <v>25</v>
      </c>
    </row>
    <row r="40" spans="1:1" x14ac:dyDescent="0.3">
      <c r="A40">
        <v>26</v>
      </c>
    </row>
    <row r="42" spans="1:1" x14ac:dyDescent="0.3">
      <c r="A42">
        <v>27</v>
      </c>
    </row>
    <row r="44" spans="1:1" x14ac:dyDescent="0.3">
      <c r="A44">
        <v>28</v>
      </c>
    </row>
    <row r="46" spans="1:1" x14ac:dyDescent="0.3">
      <c r="A46">
        <v>29</v>
      </c>
    </row>
    <row r="48" spans="1:1" x14ac:dyDescent="0.3">
      <c r="A48">
        <v>30</v>
      </c>
    </row>
    <row r="50" spans="1:1" x14ac:dyDescent="0.3">
      <c r="A50">
        <v>31</v>
      </c>
    </row>
    <row r="52" spans="1:1" x14ac:dyDescent="0.3">
      <c r="A52">
        <v>32</v>
      </c>
    </row>
    <row r="54" spans="1:1" x14ac:dyDescent="0.3">
      <c r="A54">
        <v>33</v>
      </c>
    </row>
    <row r="56" spans="1:1" x14ac:dyDescent="0.3">
      <c r="A56">
        <v>34</v>
      </c>
    </row>
    <row r="58" spans="1:1" x14ac:dyDescent="0.3">
      <c r="A58">
        <v>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22582-EEE0-4C6C-AA77-9DD0FCBC8053}">
  <dimension ref="A1:E58"/>
  <sheetViews>
    <sheetView workbookViewId="0">
      <selection activeCell="B7" sqref="B7"/>
    </sheetView>
  </sheetViews>
  <sheetFormatPr defaultRowHeight="14.4" x14ac:dyDescent="0.3"/>
  <cols>
    <col min="1" max="1" width="5.44140625" customWidth="1"/>
    <col min="4" max="4" width="12.33203125" bestFit="1" customWidth="1"/>
  </cols>
  <sheetData>
    <row r="1" spans="1:5" x14ac:dyDescent="0.3">
      <c r="B1" t="s">
        <v>132</v>
      </c>
      <c r="C1">
        <f>COUNTA(D10:ZM10)</f>
        <v>2</v>
      </c>
    </row>
    <row r="2" spans="1:5" x14ac:dyDescent="0.3">
      <c r="B2" t="s">
        <v>131</v>
      </c>
      <c r="C2">
        <f>COUNTA(B10:B136)</f>
        <v>11</v>
      </c>
    </row>
    <row r="3" spans="1:5" x14ac:dyDescent="0.3">
      <c r="C3" t="s">
        <v>30</v>
      </c>
    </row>
    <row r="4" spans="1:5" x14ac:dyDescent="0.3">
      <c r="A4">
        <v>8</v>
      </c>
      <c r="B4" t="str">
        <f t="shared" ref="B4:B20" si="0">_xlfn.CONCAT(CHAR(34), _xlfn.TEXTJOIN(" ",TRUE,D4:ZM4),CHAR(34))</f>
        <v>". ."</v>
      </c>
      <c r="C4" t="s">
        <v>30</v>
      </c>
      <c r="D4" t="s">
        <v>1</v>
      </c>
      <c r="E4" t="s">
        <v>1</v>
      </c>
    </row>
    <row r="5" spans="1:5" x14ac:dyDescent="0.3">
      <c r="B5" t="str">
        <f t="shared" si="0"/>
        <v>". ."</v>
      </c>
      <c r="C5" t="s">
        <v>30</v>
      </c>
      <c r="D5" t="s">
        <v>1</v>
      </c>
      <c r="E5" t="s">
        <v>1</v>
      </c>
    </row>
    <row r="6" spans="1:5" x14ac:dyDescent="0.3">
      <c r="A6">
        <v>9</v>
      </c>
      <c r="B6" t="str">
        <f t="shared" si="0"/>
        <v>". ."</v>
      </c>
      <c r="C6" t="s">
        <v>30</v>
      </c>
      <c r="D6" t="s">
        <v>1</v>
      </c>
      <c r="E6" t="s">
        <v>1</v>
      </c>
    </row>
    <row r="7" spans="1:5" x14ac:dyDescent="0.3">
      <c r="B7" t="str">
        <f t="shared" si="0"/>
        <v>". ."</v>
      </c>
      <c r="C7" t="s">
        <v>30</v>
      </c>
      <c r="D7" t="s">
        <v>1</v>
      </c>
      <c r="E7" t="s">
        <v>1</v>
      </c>
    </row>
    <row r="8" spans="1:5" x14ac:dyDescent="0.3">
      <c r="A8">
        <v>10</v>
      </c>
      <c r="B8" t="str">
        <f t="shared" si="0"/>
        <v>"rev-6-5 rev-6-6"</v>
      </c>
      <c r="C8" t="s">
        <v>30</v>
      </c>
      <c r="D8" t="s">
        <v>137</v>
      </c>
      <c r="E8" t="s">
        <v>136</v>
      </c>
    </row>
    <row r="9" spans="1:5" x14ac:dyDescent="0.3">
      <c r="B9" t="str">
        <f t="shared" si="0"/>
        <v>". ."</v>
      </c>
      <c r="C9" t="s">
        <v>30</v>
      </c>
      <c r="D9" t="s">
        <v>1</v>
      </c>
      <c r="E9" t="s">
        <v>1</v>
      </c>
    </row>
    <row r="10" spans="1:5" x14ac:dyDescent="0.3">
      <c r="A10">
        <v>11</v>
      </c>
      <c r="B10" t="str">
        <f t="shared" si="0"/>
        <v>". ."</v>
      </c>
      <c r="C10" t="s">
        <v>30</v>
      </c>
      <c r="D10" t="s">
        <v>1</v>
      </c>
      <c r="E10" t="s">
        <v>1</v>
      </c>
    </row>
    <row r="11" spans="1:5" x14ac:dyDescent="0.3">
      <c r="B11" t="str">
        <f t="shared" si="0"/>
        <v>". ."</v>
      </c>
      <c r="C11" t="s">
        <v>30</v>
      </c>
      <c r="D11" t="s">
        <v>1</v>
      </c>
      <c r="E11" t="s">
        <v>1</v>
      </c>
    </row>
    <row r="12" spans="1:5" x14ac:dyDescent="0.3">
      <c r="A12">
        <v>12</v>
      </c>
      <c r="B12" t="str">
        <f t="shared" si="0"/>
        <v>". ."</v>
      </c>
      <c r="C12" t="s">
        <v>30</v>
      </c>
      <c r="D12" t="s">
        <v>1</v>
      </c>
      <c r="E12" t="s">
        <v>1</v>
      </c>
    </row>
    <row r="13" spans="1:5" x14ac:dyDescent="0.3">
      <c r="B13" t="str">
        <f t="shared" si="0"/>
        <v>". ."</v>
      </c>
      <c r="C13" t="s">
        <v>30</v>
      </c>
      <c r="D13" t="s">
        <v>1</v>
      </c>
      <c r="E13" t="s">
        <v>1</v>
      </c>
    </row>
    <row r="14" spans="1:5" x14ac:dyDescent="0.3">
      <c r="A14">
        <v>13</v>
      </c>
      <c r="B14" t="str">
        <f t="shared" si="0"/>
        <v>". ."</v>
      </c>
      <c r="C14" t="s">
        <v>30</v>
      </c>
      <c r="D14" t="s">
        <v>1</v>
      </c>
      <c r="E14" t="s">
        <v>1</v>
      </c>
    </row>
    <row r="15" spans="1:5" x14ac:dyDescent="0.3">
      <c r="B15" t="str">
        <f t="shared" si="0"/>
        <v>". ."</v>
      </c>
      <c r="C15" t="s">
        <v>30</v>
      </c>
      <c r="D15" t="s">
        <v>1</v>
      </c>
      <c r="E15" t="s">
        <v>1</v>
      </c>
    </row>
    <row r="16" spans="1:5" x14ac:dyDescent="0.3">
      <c r="A16">
        <v>14</v>
      </c>
      <c r="B16" t="str">
        <f t="shared" si="0"/>
        <v>". ."</v>
      </c>
      <c r="C16" t="s">
        <v>30</v>
      </c>
      <c r="D16" t="s">
        <v>1</v>
      </c>
      <c r="E16" t="s">
        <v>1</v>
      </c>
    </row>
    <row r="17" spans="1:5" x14ac:dyDescent="0.3">
      <c r="B17" t="str">
        <f t="shared" si="0"/>
        <v>". ."</v>
      </c>
      <c r="C17" t="s">
        <v>30</v>
      </c>
      <c r="D17" t="s">
        <v>1</v>
      </c>
      <c r="E17" t="s">
        <v>1</v>
      </c>
    </row>
    <row r="18" spans="1:5" x14ac:dyDescent="0.3">
      <c r="A18">
        <v>15</v>
      </c>
      <c r="B18" t="str">
        <f t="shared" si="0"/>
        <v>". ."</v>
      </c>
      <c r="C18" t="s">
        <v>30</v>
      </c>
      <c r="D18" t="s">
        <v>1</v>
      </c>
      <c r="E18" t="s">
        <v>1</v>
      </c>
    </row>
    <row r="19" spans="1:5" x14ac:dyDescent="0.3">
      <c r="B19" t="str">
        <f t="shared" si="0"/>
        <v>". ."</v>
      </c>
      <c r="C19" t="s">
        <v>30</v>
      </c>
      <c r="D19" t="s">
        <v>1</v>
      </c>
      <c r="E19" t="s">
        <v>1</v>
      </c>
    </row>
    <row r="20" spans="1:5" x14ac:dyDescent="0.3">
      <c r="A20">
        <v>16</v>
      </c>
      <c r="B20" t="str">
        <f t="shared" si="0"/>
        <v>". ."</v>
      </c>
      <c r="C20" t="s">
        <v>30</v>
      </c>
      <c r="D20" t="s">
        <v>1</v>
      </c>
      <c r="E20" t="s">
        <v>1</v>
      </c>
    </row>
    <row r="22" spans="1:5" x14ac:dyDescent="0.3">
      <c r="A22">
        <v>17</v>
      </c>
    </row>
    <row r="24" spans="1:5" x14ac:dyDescent="0.3">
      <c r="A24">
        <v>18</v>
      </c>
    </row>
    <row r="26" spans="1:5" x14ac:dyDescent="0.3">
      <c r="A26">
        <v>19</v>
      </c>
    </row>
    <row r="28" spans="1:5" x14ac:dyDescent="0.3">
      <c r="A28">
        <v>20</v>
      </c>
    </row>
    <row r="30" spans="1:5" x14ac:dyDescent="0.3">
      <c r="A30">
        <v>21</v>
      </c>
    </row>
    <row r="32" spans="1:5" x14ac:dyDescent="0.3">
      <c r="A32">
        <v>22</v>
      </c>
    </row>
    <row r="34" spans="1:1" x14ac:dyDescent="0.3">
      <c r="A34">
        <v>23</v>
      </c>
    </row>
    <row r="36" spans="1:1" x14ac:dyDescent="0.3">
      <c r="A36">
        <v>24</v>
      </c>
    </row>
    <row r="38" spans="1:1" x14ac:dyDescent="0.3">
      <c r="A38">
        <v>25</v>
      </c>
    </row>
    <row r="40" spans="1:1" x14ac:dyDescent="0.3">
      <c r="A40">
        <v>26</v>
      </c>
    </row>
    <row r="42" spans="1:1" x14ac:dyDescent="0.3">
      <c r="A42">
        <v>27</v>
      </c>
    </row>
    <row r="44" spans="1:1" x14ac:dyDescent="0.3">
      <c r="A44">
        <v>28</v>
      </c>
    </row>
    <row r="46" spans="1:1" x14ac:dyDescent="0.3">
      <c r="A46">
        <v>29</v>
      </c>
    </row>
    <row r="48" spans="1:1" x14ac:dyDescent="0.3">
      <c r="A48">
        <v>30</v>
      </c>
    </row>
    <row r="50" spans="1:1" x14ac:dyDescent="0.3">
      <c r="A50">
        <v>31</v>
      </c>
    </row>
    <row r="52" spans="1:1" x14ac:dyDescent="0.3">
      <c r="A52">
        <v>32</v>
      </c>
    </row>
    <row r="54" spans="1:1" x14ac:dyDescent="0.3">
      <c r="A54">
        <v>33</v>
      </c>
    </row>
    <row r="56" spans="1:1" x14ac:dyDescent="0.3">
      <c r="A56">
        <v>34</v>
      </c>
    </row>
    <row r="58" spans="1:1" x14ac:dyDescent="0.3">
      <c r="A58">
        <v>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716D9-C5C6-4F38-8600-4F769679F6C8}">
  <dimension ref="A1:K58"/>
  <sheetViews>
    <sheetView topLeftCell="A28" workbookViewId="0">
      <selection activeCell="B4" sqref="B4:B58"/>
    </sheetView>
  </sheetViews>
  <sheetFormatPr defaultRowHeight="14.4" x14ac:dyDescent="0.3"/>
  <cols>
    <col min="1" max="1" width="5.44140625" customWidth="1"/>
    <col min="4" max="4" width="12.33203125" bestFit="1" customWidth="1"/>
  </cols>
  <sheetData>
    <row r="1" spans="1:11" x14ac:dyDescent="0.3">
      <c r="B1" t="s">
        <v>132</v>
      </c>
      <c r="C1">
        <f>COUNTA(D10:ZM10)</f>
        <v>8</v>
      </c>
    </row>
    <row r="2" spans="1:11" x14ac:dyDescent="0.3">
      <c r="B2" t="s">
        <v>131</v>
      </c>
      <c r="C2">
        <f>COUNTA(B10:B140)</f>
        <v>49</v>
      </c>
    </row>
    <row r="3" spans="1:11" x14ac:dyDescent="0.3">
      <c r="C3" t="s">
        <v>30</v>
      </c>
    </row>
    <row r="4" spans="1:11" x14ac:dyDescent="0.3">
      <c r="A4">
        <v>8</v>
      </c>
      <c r="B4" t="str">
        <f t="shared" ref="B4:B35" si="0">_xlfn.CONCAT(CHAR(34), _xlfn.TEXTJOIN(" ",TRUE,D4:ZM4),CHAR(34))</f>
        <v>". . . . . . . ."</v>
      </c>
      <c r="C4" t="s">
        <v>30</v>
      </c>
      <c r="D4" t="s">
        <v>1</v>
      </c>
      <c r="E4" t="s">
        <v>1</v>
      </c>
      <c r="F4" t="s">
        <v>1</v>
      </c>
      <c r="G4" t="s">
        <v>1</v>
      </c>
      <c r="H4" t="s">
        <v>1</v>
      </c>
      <c r="I4" t="s">
        <v>1</v>
      </c>
      <c r="J4" t="s">
        <v>1</v>
      </c>
      <c r="K4" t="s">
        <v>1</v>
      </c>
    </row>
    <row r="5" spans="1:11" x14ac:dyDescent="0.3">
      <c r="B5" t="str">
        <f t="shared" si="0"/>
        <v>". . . . . . . ."</v>
      </c>
      <c r="C5" t="s">
        <v>30</v>
      </c>
      <c r="D5" t="s">
        <v>1</v>
      </c>
      <c r="E5" t="s">
        <v>1</v>
      </c>
      <c r="F5" t="s">
        <v>1</v>
      </c>
      <c r="G5" t="s">
        <v>1</v>
      </c>
      <c r="H5" t="s">
        <v>1</v>
      </c>
      <c r="I5" t="s">
        <v>1</v>
      </c>
      <c r="J5" t="s">
        <v>1</v>
      </c>
      <c r="K5" t="s">
        <v>1</v>
      </c>
    </row>
    <row r="6" spans="1:11" x14ac:dyDescent="0.3">
      <c r="A6">
        <v>9</v>
      </c>
      <c r="B6" t="str">
        <f t="shared" si="0"/>
        <v>". . . . . . . ."</v>
      </c>
      <c r="C6" t="s">
        <v>30</v>
      </c>
      <c r="D6" t="s">
        <v>1</v>
      </c>
      <c r="E6" t="s">
        <v>1</v>
      </c>
      <c r="F6" t="s">
        <v>1</v>
      </c>
      <c r="G6" t="s">
        <v>1</v>
      </c>
      <c r="H6" t="s">
        <v>1</v>
      </c>
      <c r="I6" t="s">
        <v>1</v>
      </c>
      <c r="J6" t="s">
        <v>1</v>
      </c>
      <c r="K6" t="s">
        <v>1</v>
      </c>
    </row>
    <row r="7" spans="1:11" x14ac:dyDescent="0.3">
      <c r="B7" t="str">
        <f t="shared" si="0"/>
        <v>". . . . . . . ."</v>
      </c>
      <c r="C7" t="s">
        <v>30</v>
      </c>
      <c r="D7" t="s">
        <v>1</v>
      </c>
      <c r="E7" t="s">
        <v>1</v>
      </c>
      <c r="F7" t="s">
        <v>1</v>
      </c>
      <c r="G7" t="s">
        <v>1</v>
      </c>
      <c r="H7" t="s">
        <v>1</v>
      </c>
      <c r="I7" t="s">
        <v>1</v>
      </c>
      <c r="J7" t="s">
        <v>1</v>
      </c>
      <c r="K7" t="s">
        <v>1</v>
      </c>
    </row>
    <row r="8" spans="1:11" x14ac:dyDescent="0.3">
      <c r="A8">
        <v>10</v>
      </c>
      <c r="B8" t="str">
        <f t="shared" si="0"/>
        <v>"rev-6-7 j-rev-6-7 rev-6-8b j-rev-6-8b j-rev-6-8b j-rev-6-8b j-rev-6-8b j-rev-6-8b"</v>
      </c>
      <c r="C8" t="s">
        <v>30</v>
      </c>
      <c r="D8" t="s">
        <v>144</v>
      </c>
      <c r="E8" t="s">
        <v>373</v>
      </c>
      <c r="F8" t="s">
        <v>143</v>
      </c>
      <c r="G8" t="s">
        <v>142</v>
      </c>
      <c r="H8" t="s">
        <v>142</v>
      </c>
      <c r="I8" t="s">
        <v>142</v>
      </c>
      <c r="J8" t="s">
        <v>142</v>
      </c>
      <c r="K8" t="s">
        <v>142</v>
      </c>
    </row>
    <row r="9" spans="1:11" x14ac:dyDescent="0.3">
      <c r="B9" t="str">
        <f t="shared" si="0"/>
        <v>". . . . . . . ."</v>
      </c>
      <c r="C9" t="s">
        <v>30</v>
      </c>
      <c r="D9" t="s">
        <v>1</v>
      </c>
      <c r="E9" t="s">
        <v>1</v>
      </c>
      <c r="F9" t="s">
        <v>1</v>
      </c>
      <c r="G9" t="s">
        <v>1</v>
      </c>
      <c r="H9" t="s">
        <v>1</v>
      </c>
      <c r="I9" t="s">
        <v>1</v>
      </c>
      <c r="J9" t="s">
        <v>1</v>
      </c>
      <c r="K9" t="s">
        <v>1</v>
      </c>
    </row>
    <row r="10" spans="1:11" x14ac:dyDescent="0.3">
      <c r="A10">
        <v>11</v>
      </c>
      <c r="B10" t="str">
        <f t="shared" si="0"/>
        <v>"job-5-19 j-job-5-19 job-5-20 j-job-5-20-e . . . ."</v>
      </c>
      <c r="C10" t="s">
        <v>30</v>
      </c>
      <c r="D10" t="s">
        <v>141</v>
      </c>
      <c r="E10" t="s">
        <v>374</v>
      </c>
      <c r="F10" t="s">
        <v>140</v>
      </c>
      <c r="G10" t="s">
        <v>375</v>
      </c>
      <c r="H10" t="s">
        <v>1</v>
      </c>
      <c r="I10" t="s">
        <v>1</v>
      </c>
      <c r="J10" t="s">
        <v>1</v>
      </c>
      <c r="K10" t="s">
        <v>1</v>
      </c>
    </row>
    <row r="11" spans="1:11" x14ac:dyDescent="0.3">
      <c r="B11" t="str">
        <f t="shared" si="0"/>
        <v>". . . . . . . ."</v>
      </c>
      <c r="C11" t="s">
        <v>30</v>
      </c>
      <c r="D11" t="s">
        <v>1</v>
      </c>
      <c r="E11" t="s">
        <v>1</v>
      </c>
      <c r="F11" t="s">
        <v>1</v>
      </c>
      <c r="G11" t="s">
        <v>1</v>
      </c>
      <c r="H11" t="s">
        <v>1</v>
      </c>
      <c r="I11" t="s">
        <v>1</v>
      </c>
      <c r="J11" t="s">
        <v>1</v>
      </c>
      <c r="K11" t="s">
        <v>1</v>
      </c>
    </row>
    <row r="12" spans="1:11" x14ac:dyDescent="0.3">
      <c r="A12">
        <v>12</v>
      </c>
      <c r="B12" t="str">
        <f t="shared" si="0"/>
        <v>". . . . . . . ."</v>
      </c>
      <c r="C12" t="s">
        <v>30</v>
      </c>
      <c r="D12" t="s">
        <v>1</v>
      </c>
      <c r="E12" t="s">
        <v>1</v>
      </c>
      <c r="F12" t="s">
        <v>1</v>
      </c>
      <c r="G12" t="s">
        <v>1</v>
      </c>
      <c r="H12" t="s">
        <v>1</v>
      </c>
      <c r="I12" t="s">
        <v>1</v>
      </c>
      <c r="J12" t="s">
        <v>1</v>
      </c>
      <c r="K12" t="s">
        <v>1</v>
      </c>
    </row>
    <row r="13" spans="1:11" x14ac:dyDescent="0.3">
      <c r="B13" t="str">
        <f t="shared" si="0"/>
        <v>". . . . . . . ."</v>
      </c>
      <c r="C13" t="s">
        <v>30</v>
      </c>
      <c r="D13" t="s">
        <v>1</v>
      </c>
      <c r="E13" t="s">
        <v>1</v>
      </c>
      <c r="F13" t="s">
        <v>1</v>
      </c>
      <c r="G13" t="s">
        <v>1</v>
      </c>
      <c r="H13" t="s">
        <v>1</v>
      </c>
      <c r="I13" t="s">
        <v>1</v>
      </c>
      <c r="J13" t="s">
        <v>1</v>
      </c>
      <c r="K13" t="s">
        <v>1</v>
      </c>
    </row>
    <row r="14" spans="1:11" x14ac:dyDescent="0.3">
      <c r="A14">
        <v>13</v>
      </c>
      <c r="B14" t="str">
        <f t="shared" si="0"/>
        <v>". . . . . . . ."</v>
      </c>
      <c r="C14" t="s">
        <v>30</v>
      </c>
      <c r="D14" t="s">
        <v>1</v>
      </c>
      <c r="E14" t="s">
        <v>1</v>
      </c>
      <c r="F14" t="s">
        <v>1</v>
      </c>
      <c r="G14" t="s">
        <v>1</v>
      </c>
      <c r="H14" t="s">
        <v>1</v>
      </c>
      <c r="I14" t="s">
        <v>1</v>
      </c>
      <c r="J14" t="s">
        <v>1</v>
      </c>
      <c r="K14" t="s">
        <v>1</v>
      </c>
    </row>
    <row r="15" spans="1:11" x14ac:dyDescent="0.3">
      <c r="B15" t="str">
        <f t="shared" si="0"/>
        <v>". . . . . . . ."</v>
      </c>
      <c r="C15" t="s">
        <v>30</v>
      </c>
      <c r="D15" t="s">
        <v>1</v>
      </c>
      <c r="E15" t="s">
        <v>1</v>
      </c>
      <c r="F15" t="s">
        <v>1</v>
      </c>
      <c r="G15" t="s">
        <v>1</v>
      </c>
      <c r="H15" t="s">
        <v>1</v>
      </c>
      <c r="I15" t="s">
        <v>1</v>
      </c>
      <c r="J15" t="s">
        <v>1</v>
      </c>
      <c r="K15" t="s">
        <v>1</v>
      </c>
    </row>
    <row r="16" spans="1:11" x14ac:dyDescent="0.3">
      <c r="A16">
        <v>14</v>
      </c>
      <c r="B16" t="str">
        <f t="shared" si="0"/>
        <v>". . . . . . . ."</v>
      </c>
      <c r="C16" t="s">
        <v>30</v>
      </c>
      <c r="D16" t="s">
        <v>1</v>
      </c>
      <c r="E16" t="s">
        <v>1</v>
      </c>
      <c r="F16" t="s">
        <v>1</v>
      </c>
      <c r="G16" t="s">
        <v>1</v>
      </c>
      <c r="H16" t="s">
        <v>1</v>
      </c>
      <c r="I16" t="s">
        <v>1</v>
      </c>
      <c r="J16" t="s">
        <v>1</v>
      </c>
      <c r="K16" t="s">
        <v>1</v>
      </c>
    </row>
    <row r="17" spans="1:11" x14ac:dyDescent="0.3">
      <c r="B17" t="str">
        <f t="shared" si="0"/>
        <v>". . . . . . . ."</v>
      </c>
      <c r="C17" t="s">
        <v>30</v>
      </c>
      <c r="D17" t="s">
        <v>1</v>
      </c>
      <c r="E17" t="s">
        <v>1</v>
      </c>
      <c r="F17" t="s">
        <v>1</v>
      </c>
      <c r="G17" t="s">
        <v>1</v>
      </c>
      <c r="H17" t="s">
        <v>1</v>
      </c>
      <c r="I17" t="s">
        <v>1</v>
      </c>
      <c r="J17" t="s">
        <v>1</v>
      </c>
      <c r="K17" t="s">
        <v>1</v>
      </c>
    </row>
    <row r="18" spans="1:11" x14ac:dyDescent="0.3">
      <c r="A18">
        <v>15</v>
      </c>
      <c r="B18" t="str">
        <f t="shared" si="0"/>
        <v>". . . . . . . ."</v>
      </c>
      <c r="C18" t="s">
        <v>30</v>
      </c>
      <c r="D18" t="s">
        <v>1</v>
      </c>
      <c r="E18" t="s">
        <v>1</v>
      </c>
      <c r="F18" t="s">
        <v>1</v>
      </c>
      <c r="G18" t="s">
        <v>1</v>
      </c>
      <c r="H18" t="s">
        <v>1</v>
      </c>
      <c r="I18" t="s">
        <v>1</v>
      </c>
      <c r="J18" t="s">
        <v>1</v>
      </c>
      <c r="K18" t="s">
        <v>1</v>
      </c>
    </row>
    <row r="19" spans="1:11" x14ac:dyDescent="0.3">
      <c r="B19" t="str">
        <f t="shared" si="0"/>
        <v>". . . . . . . ."</v>
      </c>
      <c r="C19" t="s">
        <v>30</v>
      </c>
      <c r="D19" t="s">
        <v>1</v>
      </c>
      <c r="E19" t="s">
        <v>1</v>
      </c>
      <c r="F19" t="s">
        <v>1</v>
      </c>
      <c r="G19" t="s">
        <v>1</v>
      </c>
      <c r="H19" t="s">
        <v>1</v>
      </c>
      <c r="I19" t="s">
        <v>1</v>
      </c>
      <c r="J19" t="s">
        <v>1</v>
      </c>
      <c r="K19" t="s">
        <v>1</v>
      </c>
    </row>
    <row r="20" spans="1:11" x14ac:dyDescent="0.3">
      <c r="A20">
        <v>16</v>
      </c>
      <c r="B20" t="str">
        <f t="shared" si="0"/>
        <v>". . . . . . . ."</v>
      </c>
      <c r="C20" t="s">
        <v>30</v>
      </c>
      <c r="D20" t="s">
        <v>1</v>
      </c>
      <c r="E20" t="s">
        <v>1</v>
      </c>
      <c r="F20" t="s">
        <v>1</v>
      </c>
      <c r="G20" t="s">
        <v>1</v>
      </c>
      <c r="H20" t="s">
        <v>1</v>
      </c>
      <c r="I20" t="s">
        <v>1</v>
      </c>
      <c r="J20" t="s">
        <v>1</v>
      </c>
      <c r="K20" t="s">
        <v>1</v>
      </c>
    </row>
    <row r="21" spans="1:11" x14ac:dyDescent="0.3">
      <c r="B21" t="str">
        <f t="shared" si="0"/>
        <v>". . . . . . . ."</v>
      </c>
      <c r="C21" t="s">
        <v>30</v>
      </c>
      <c r="D21" t="s">
        <v>1</v>
      </c>
      <c r="E21" t="s">
        <v>1</v>
      </c>
      <c r="F21" t="s">
        <v>1</v>
      </c>
      <c r="G21" t="s">
        <v>1</v>
      </c>
      <c r="H21" t="s">
        <v>1</v>
      </c>
      <c r="I21" t="s">
        <v>1</v>
      </c>
      <c r="J21" t="s">
        <v>1</v>
      </c>
      <c r="K21" t="s">
        <v>1</v>
      </c>
    </row>
    <row r="22" spans="1:11" x14ac:dyDescent="0.3">
      <c r="A22">
        <v>17</v>
      </c>
      <c r="B22" t="str">
        <f t="shared" si="0"/>
        <v>". . . . . . . ."</v>
      </c>
      <c r="C22" t="s">
        <v>30</v>
      </c>
      <c r="D22" t="s">
        <v>1</v>
      </c>
      <c r="E22" t="s">
        <v>1</v>
      </c>
      <c r="F22" t="s">
        <v>1</v>
      </c>
      <c r="G22" t="s">
        <v>1</v>
      </c>
      <c r="H22" t="s">
        <v>1</v>
      </c>
      <c r="I22" t="s">
        <v>1</v>
      </c>
      <c r="J22" t="s">
        <v>1</v>
      </c>
      <c r="K22" t="s">
        <v>1</v>
      </c>
    </row>
    <row r="23" spans="1:11" x14ac:dyDescent="0.3">
      <c r="B23" t="str">
        <f t="shared" si="0"/>
        <v>". . . . . . . ."</v>
      </c>
      <c r="C23" t="s">
        <v>30</v>
      </c>
      <c r="D23" t="s">
        <v>1</v>
      </c>
      <c r="E23" t="s">
        <v>1</v>
      </c>
      <c r="F23" t="s">
        <v>1</v>
      </c>
      <c r="G23" t="s">
        <v>1</v>
      </c>
      <c r="H23" t="s">
        <v>1</v>
      </c>
      <c r="I23" t="s">
        <v>1</v>
      </c>
      <c r="J23" t="s">
        <v>1</v>
      </c>
      <c r="K23" t="s">
        <v>1</v>
      </c>
    </row>
    <row r="24" spans="1:11" x14ac:dyDescent="0.3">
      <c r="A24">
        <v>18</v>
      </c>
      <c r="B24" t="str">
        <f t="shared" si="0"/>
        <v>". . . . . . . ."</v>
      </c>
      <c r="C24" t="s">
        <v>30</v>
      </c>
      <c r="D24" t="s">
        <v>1</v>
      </c>
      <c r="E24" t="s">
        <v>1</v>
      </c>
      <c r="F24" t="s">
        <v>1</v>
      </c>
      <c r="G24" t="s">
        <v>1</v>
      </c>
      <c r="H24" t="s">
        <v>1</v>
      </c>
      <c r="I24" t="s">
        <v>1</v>
      </c>
      <c r="J24" t="s">
        <v>1</v>
      </c>
      <c r="K24" t="s">
        <v>1</v>
      </c>
    </row>
    <row r="25" spans="1:11" x14ac:dyDescent="0.3">
      <c r="B25" t="str">
        <f t="shared" si="0"/>
        <v>". . . . . . . ."</v>
      </c>
      <c r="C25" t="s">
        <v>30</v>
      </c>
      <c r="D25" t="s">
        <v>1</v>
      </c>
      <c r="E25" t="s">
        <v>1</v>
      </c>
      <c r="F25" t="s">
        <v>1</v>
      </c>
      <c r="G25" t="s">
        <v>1</v>
      </c>
      <c r="H25" t="s">
        <v>1</v>
      </c>
      <c r="I25" t="s">
        <v>1</v>
      </c>
      <c r="J25" t="s">
        <v>1</v>
      </c>
      <c r="K25" t="s">
        <v>1</v>
      </c>
    </row>
    <row r="26" spans="1:11" x14ac:dyDescent="0.3">
      <c r="A26">
        <v>19</v>
      </c>
      <c r="B26" t="str">
        <f t="shared" si="0"/>
        <v>". . . . . . . ."</v>
      </c>
      <c r="C26" t="s">
        <v>30</v>
      </c>
      <c r="D26" t="s">
        <v>1</v>
      </c>
      <c r="E26" t="s">
        <v>1</v>
      </c>
      <c r="F26" t="s">
        <v>1</v>
      </c>
      <c r="G26" t="s">
        <v>1</v>
      </c>
      <c r="H26" t="s">
        <v>1</v>
      </c>
      <c r="I26" t="s">
        <v>1</v>
      </c>
      <c r="J26" t="s">
        <v>1</v>
      </c>
      <c r="K26" t="s">
        <v>1</v>
      </c>
    </row>
    <row r="27" spans="1:11" x14ac:dyDescent="0.3">
      <c r="B27" t="str">
        <f t="shared" si="0"/>
        <v>". . . . . . . ."</v>
      </c>
      <c r="C27" t="s">
        <v>30</v>
      </c>
      <c r="D27" t="s">
        <v>1</v>
      </c>
      <c r="E27" t="s">
        <v>1</v>
      </c>
      <c r="F27" t="s">
        <v>1</v>
      </c>
      <c r="G27" t="s">
        <v>1</v>
      </c>
      <c r="H27" t="s">
        <v>1</v>
      </c>
      <c r="I27" t="s">
        <v>1</v>
      </c>
      <c r="J27" t="s">
        <v>1</v>
      </c>
      <c r="K27" t="s">
        <v>1</v>
      </c>
    </row>
    <row r="28" spans="1:11" x14ac:dyDescent="0.3">
      <c r="A28">
        <v>20</v>
      </c>
      <c r="B28" t="str">
        <f t="shared" si="0"/>
        <v>"deu-32-20 j-deu-32-20 j-deu-32-20 j-deu-32-20 j-deu-32-20 j-deu-32-20 j-deu-32-20 j-deu-32-20"</v>
      </c>
      <c r="C28" t="s">
        <v>30</v>
      </c>
      <c r="D28" t="s">
        <v>440</v>
      </c>
      <c r="E28" t="s">
        <v>441</v>
      </c>
      <c r="F28" t="s">
        <v>441</v>
      </c>
      <c r="G28" t="s">
        <v>441</v>
      </c>
      <c r="H28" t="s">
        <v>441</v>
      </c>
      <c r="I28" t="s">
        <v>441</v>
      </c>
      <c r="J28" t="s">
        <v>441</v>
      </c>
      <c r="K28" t="s">
        <v>441</v>
      </c>
    </row>
    <row r="29" spans="1:11" x14ac:dyDescent="0.3">
      <c r="B29" t="str">
        <f t="shared" si="0"/>
        <v>". . . . . . . ."</v>
      </c>
      <c r="C29" t="s">
        <v>30</v>
      </c>
      <c r="D29" t="s">
        <v>1</v>
      </c>
      <c r="E29" t="s">
        <v>1</v>
      </c>
      <c r="F29" t="s">
        <v>1</v>
      </c>
      <c r="G29" t="s">
        <v>1</v>
      </c>
      <c r="H29" t="s">
        <v>1</v>
      </c>
      <c r="I29" t="s">
        <v>1</v>
      </c>
      <c r="J29" t="s">
        <v>1</v>
      </c>
      <c r="K29" t="s">
        <v>1</v>
      </c>
    </row>
    <row r="30" spans="1:11" x14ac:dyDescent="0.3">
      <c r="A30">
        <v>21</v>
      </c>
      <c r="B30" t="str">
        <f t="shared" si="0"/>
        <v>". . . . . . . ."</v>
      </c>
      <c r="C30" t="s">
        <v>30</v>
      </c>
      <c r="D30" t="s">
        <v>1</v>
      </c>
      <c r="E30" t="s">
        <v>1</v>
      </c>
      <c r="F30" t="s">
        <v>1</v>
      </c>
      <c r="G30" t="s">
        <v>1</v>
      </c>
      <c r="H30" t="s">
        <v>1</v>
      </c>
      <c r="I30" t="s">
        <v>1</v>
      </c>
      <c r="J30" t="s">
        <v>1</v>
      </c>
      <c r="K30" t="s">
        <v>1</v>
      </c>
    </row>
    <row r="31" spans="1:11" x14ac:dyDescent="0.3">
      <c r="B31" t="str">
        <f t="shared" si="0"/>
        <v>". . . . . . . ."</v>
      </c>
      <c r="C31" t="s">
        <v>30</v>
      </c>
      <c r="D31" t="s">
        <v>1</v>
      </c>
      <c r="E31" t="s">
        <v>1</v>
      </c>
      <c r="F31" t="s">
        <v>1</v>
      </c>
      <c r="G31" t="s">
        <v>1</v>
      </c>
      <c r="H31" t="s">
        <v>1</v>
      </c>
      <c r="I31" t="s">
        <v>1</v>
      </c>
      <c r="J31" t="s">
        <v>1</v>
      </c>
      <c r="K31" t="s">
        <v>1</v>
      </c>
    </row>
    <row r="32" spans="1:11" x14ac:dyDescent="0.3">
      <c r="A32">
        <v>22</v>
      </c>
      <c r="B32" t="str">
        <f t="shared" si="0"/>
        <v>"es2-15-3 j-es2-15-4 es2-15-5 j-es2-15-5 j-es2-15-5 j-es2-15-5 j-es2-15-5 es2-15-6"</v>
      </c>
      <c r="C32" t="s">
        <v>30</v>
      </c>
      <c r="D32" t="s">
        <v>379</v>
      </c>
      <c r="E32" t="s">
        <v>377</v>
      </c>
      <c r="F32" t="s">
        <v>139</v>
      </c>
      <c r="G32" t="s">
        <v>376</v>
      </c>
      <c r="H32" t="s">
        <v>376</v>
      </c>
      <c r="I32" t="s">
        <v>376</v>
      </c>
      <c r="J32" t="s">
        <v>376</v>
      </c>
      <c r="K32" t="s">
        <v>138</v>
      </c>
    </row>
    <row r="33" spans="1:11" x14ac:dyDescent="0.3">
      <c r="B33" t="str">
        <f t="shared" si="0"/>
        <v>". . . . . . . ."</v>
      </c>
      <c r="C33" t="s">
        <v>30</v>
      </c>
      <c r="D33" t="s">
        <v>1</v>
      </c>
      <c r="E33" t="s">
        <v>1</v>
      </c>
      <c r="F33" t="s">
        <v>1</v>
      </c>
      <c r="G33" t="s">
        <v>1</v>
      </c>
      <c r="H33" t="s">
        <v>1</v>
      </c>
      <c r="I33" t="s">
        <v>1</v>
      </c>
      <c r="J33" t="s">
        <v>1</v>
      </c>
      <c r="K33" t="s">
        <v>1</v>
      </c>
    </row>
    <row r="34" spans="1:11" x14ac:dyDescent="0.3">
      <c r="A34">
        <v>23</v>
      </c>
      <c r="B34" t="str">
        <f t="shared" si="0"/>
        <v>". . . . . . . ."</v>
      </c>
      <c r="C34" t="s">
        <v>30</v>
      </c>
      <c r="D34" t="s">
        <v>1</v>
      </c>
      <c r="E34" t="s">
        <v>1</v>
      </c>
      <c r="F34" t="s">
        <v>1</v>
      </c>
      <c r="G34" t="s">
        <v>1</v>
      </c>
      <c r="H34" t="s">
        <v>1</v>
      </c>
      <c r="I34" t="s">
        <v>1</v>
      </c>
      <c r="J34" t="s">
        <v>1</v>
      </c>
      <c r="K34" t="s">
        <v>1</v>
      </c>
    </row>
    <row r="35" spans="1:11" x14ac:dyDescent="0.3">
      <c r="B35" t="str">
        <f t="shared" si="0"/>
        <v>". . . . . . . ."</v>
      </c>
      <c r="C35" t="s">
        <v>30</v>
      </c>
      <c r="D35" t="s">
        <v>1</v>
      </c>
      <c r="E35" t="s">
        <v>1</v>
      </c>
      <c r="F35" t="s">
        <v>1</v>
      </c>
      <c r="G35" t="s">
        <v>1</v>
      </c>
      <c r="H35" t="s">
        <v>1</v>
      </c>
      <c r="I35" t="s">
        <v>1</v>
      </c>
      <c r="J35" t="s">
        <v>1</v>
      </c>
      <c r="K35" t="s">
        <v>1</v>
      </c>
    </row>
    <row r="36" spans="1:11" x14ac:dyDescent="0.3">
      <c r="A36">
        <v>24</v>
      </c>
      <c r="B36" t="str">
        <f t="shared" ref="B36:B58" si="1">_xlfn.CONCAT(CHAR(34), _xlfn.TEXTJOIN(" ",TRUE,D36:ZM36),CHAR(34))</f>
        <v>". . . . . . . ."</v>
      </c>
      <c r="C36" t="s">
        <v>30</v>
      </c>
      <c r="D36" t="s">
        <v>1</v>
      </c>
      <c r="E36" t="s">
        <v>1</v>
      </c>
      <c r="F36" t="s">
        <v>1</v>
      </c>
      <c r="G36" t="s">
        <v>1</v>
      </c>
      <c r="H36" t="s">
        <v>1</v>
      </c>
      <c r="I36" t="s">
        <v>1</v>
      </c>
      <c r="J36" t="s">
        <v>1</v>
      </c>
      <c r="K36" t="s">
        <v>1</v>
      </c>
    </row>
    <row r="37" spans="1:11" x14ac:dyDescent="0.3">
      <c r="B37" t="str">
        <f t="shared" si="1"/>
        <v>". . . . . . . ."</v>
      </c>
      <c r="C37" t="s">
        <v>30</v>
      </c>
      <c r="D37" t="s">
        <v>1</v>
      </c>
      <c r="E37" t="s">
        <v>1</v>
      </c>
      <c r="F37" t="s">
        <v>1</v>
      </c>
      <c r="G37" t="s">
        <v>1</v>
      </c>
      <c r="H37" t="s">
        <v>1</v>
      </c>
      <c r="I37" t="s">
        <v>1</v>
      </c>
      <c r="J37" t="s">
        <v>1</v>
      </c>
      <c r="K37" t="s">
        <v>1</v>
      </c>
    </row>
    <row r="38" spans="1:11" x14ac:dyDescent="0.3">
      <c r="A38">
        <v>25</v>
      </c>
      <c r="B38" t="str">
        <f t="shared" si="1"/>
        <v>". . . . . . . ."</v>
      </c>
      <c r="C38" t="s">
        <v>30</v>
      </c>
      <c r="D38" t="s">
        <v>1</v>
      </c>
      <c r="E38" t="s">
        <v>1</v>
      </c>
      <c r="F38" t="s">
        <v>1</v>
      </c>
      <c r="G38" t="s">
        <v>1</v>
      </c>
      <c r="H38" t="s">
        <v>1</v>
      </c>
      <c r="I38" t="s">
        <v>1</v>
      </c>
      <c r="J38" t="s">
        <v>1</v>
      </c>
      <c r="K38" t="s">
        <v>1</v>
      </c>
    </row>
    <row r="39" spans="1:11" x14ac:dyDescent="0.3">
      <c r="B39" t="str">
        <f t="shared" si="1"/>
        <v>". . . . . . . ."</v>
      </c>
      <c r="C39" t="s">
        <v>30</v>
      </c>
      <c r="D39" t="s">
        <v>1</v>
      </c>
      <c r="E39" t="s">
        <v>1</v>
      </c>
      <c r="F39" t="s">
        <v>1</v>
      </c>
      <c r="G39" t="s">
        <v>1</v>
      </c>
      <c r="H39" t="s">
        <v>1</v>
      </c>
      <c r="I39" t="s">
        <v>1</v>
      </c>
      <c r="J39" t="s">
        <v>1</v>
      </c>
      <c r="K39" t="s">
        <v>1</v>
      </c>
    </row>
    <row r="40" spans="1:11" x14ac:dyDescent="0.3">
      <c r="A40">
        <v>26</v>
      </c>
      <c r="B40" t="str">
        <f t="shared" si="1"/>
        <v>". . . . . . . ."</v>
      </c>
      <c r="C40" t="s">
        <v>30</v>
      </c>
      <c r="D40" t="s">
        <v>1</v>
      </c>
      <c r="E40" t="s">
        <v>1</v>
      </c>
      <c r="F40" t="s">
        <v>1</v>
      </c>
      <c r="G40" t="s">
        <v>1</v>
      </c>
      <c r="H40" t="s">
        <v>1</v>
      </c>
      <c r="I40" t="s">
        <v>1</v>
      </c>
      <c r="J40" t="s">
        <v>1</v>
      </c>
      <c r="K40" t="s">
        <v>1</v>
      </c>
    </row>
    <row r="41" spans="1:11" x14ac:dyDescent="0.3">
      <c r="B41" t="str">
        <f t="shared" si="1"/>
        <v>". . . . . . . ."</v>
      </c>
      <c r="C41" t="s">
        <v>30</v>
      </c>
      <c r="D41" t="s">
        <v>1</v>
      </c>
      <c r="E41" t="s">
        <v>1</v>
      </c>
      <c r="F41" t="s">
        <v>1</v>
      </c>
      <c r="G41" t="s">
        <v>1</v>
      </c>
      <c r="H41" t="s">
        <v>1</v>
      </c>
      <c r="I41" t="s">
        <v>1</v>
      </c>
      <c r="J41" t="s">
        <v>1</v>
      </c>
      <c r="K41" t="s">
        <v>1</v>
      </c>
    </row>
    <row r="42" spans="1:11" x14ac:dyDescent="0.3">
      <c r="A42">
        <v>27</v>
      </c>
      <c r="B42" t="str">
        <f t="shared" si="1"/>
        <v>". . . . . . . ."</v>
      </c>
      <c r="C42" t="s">
        <v>30</v>
      </c>
      <c r="D42" t="s">
        <v>1</v>
      </c>
      <c r="E42" t="s">
        <v>1</v>
      </c>
      <c r="F42" t="s">
        <v>1</v>
      </c>
      <c r="G42" t="s">
        <v>1</v>
      </c>
      <c r="H42" t="s">
        <v>1</v>
      </c>
      <c r="I42" t="s">
        <v>1</v>
      </c>
      <c r="J42" t="s">
        <v>1</v>
      </c>
      <c r="K42" t="s">
        <v>1</v>
      </c>
    </row>
    <row r="43" spans="1:11" x14ac:dyDescent="0.3">
      <c r="B43" t="str">
        <f t="shared" si="1"/>
        <v>". . . . . . . ."</v>
      </c>
      <c r="C43" t="s">
        <v>30</v>
      </c>
      <c r="D43" t="s">
        <v>1</v>
      </c>
      <c r="E43" t="s">
        <v>1</v>
      </c>
      <c r="F43" t="s">
        <v>1</v>
      </c>
      <c r="G43" t="s">
        <v>1</v>
      </c>
      <c r="H43" t="s">
        <v>1</v>
      </c>
      <c r="I43" t="s">
        <v>1</v>
      </c>
      <c r="J43" t="s">
        <v>1</v>
      </c>
      <c r="K43" t="s">
        <v>1</v>
      </c>
    </row>
    <row r="44" spans="1:11" x14ac:dyDescent="0.3">
      <c r="A44">
        <v>28</v>
      </c>
      <c r="B44" t="str">
        <f t="shared" si="1"/>
        <v>". . . . . . . ."</v>
      </c>
      <c r="C44" t="s">
        <v>30</v>
      </c>
      <c r="D44" t="s">
        <v>1</v>
      </c>
      <c r="E44" t="s">
        <v>1</v>
      </c>
      <c r="F44" t="s">
        <v>1</v>
      </c>
      <c r="G44" t="s">
        <v>1</v>
      </c>
      <c r="H44" t="s">
        <v>1</v>
      </c>
      <c r="I44" t="s">
        <v>1</v>
      </c>
      <c r="J44" t="s">
        <v>1</v>
      </c>
      <c r="K44" t="s">
        <v>1</v>
      </c>
    </row>
    <row r="45" spans="1:11" x14ac:dyDescent="0.3">
      <c r="B45" t="str">
        <f t="shared" si="1"/>
        <v>". . . . . . . ."</v>
      </c>
      <c r="C45" t="s">
        <v>30</v>
      </c>
      <c r="D45" t="s">
        <v>1</v>
      </c>
      <c r="E45" t="s">
        <v>1</v>
      </c>
      <c r="F45" t="s">
        <v>1</v>
      </c>
      <c r="G45" t="s">
        <v>1</v>
      </c>
      <c r="H45" t="s">
        <v>1</v>
      </c>
      <c r="I45" t="s">
        <v>1</v>
      </c>
      <c r="J45" t="s">
        <v>1</v>
      </c>
      <c r="K45" t="s">
        <v>1</v>
      </c>
    </row>
    <row r="46" spans="1:11" x14ac:dyDescent="0.3">
      <c r="A46">
        <v>29</v>
      </c>
      <c r="B46" t="str">
        <f t="shared" si="1"/>
        <v>". . . . . . . ."</v>
      </c>
      <c r="C46" t="s">
        <v>30</v>
      </c>
      <c r="D46" t="s">
        <v>1</v>
      </c>
      <c r="E46" t="s">
        <v>1</v>
      </c>
      <c r="F46" t="s">
        <v>1</v>
      </c>
      <c r="G46" t="s">
        <v>1</v>
      </c>
      <c r="H46" t="s">
        <v>1</v>
      </c>
      <c r="I46" t="s">
        <v>1</v>
      </c>
      <c r="J46" t="s">
        <v>1</v>
      </c>
      <c r="K46" t="s">
        <v>1</v>
      </c>
    </row>
    <row r="47" spans="1:11" x14ac:dyDescent="0.3">
      <c r="B47" t="str">
        <f t="shared" si="1"/>
        <v>". . . . . . . ."</v>
      </c>
      <c r="C47" t="s">
        <v>30</v>
      </c>
      <c r="D47" t="s">
        <v>1</v>
      </c>
      <c r="E47" t="s">
        <v>1</v>
      </c>
      <c r="F47" t="s">
        <v>1</v>
      </c>
      <c r="G47" t="s">
        <v>1</v>
      </c>
      <c r="H47" t="s">
        <v>1</v>
      </c>
      <c r="I47" t="s">
        <v>1</v>
      </c>
      <c r="J47" t="s">
        <v>1</v>
      </c>
      <c r="K47" t="s">
        <v>1</v>
      </c>
    </row>
    <row r="48" spans="1:11" x14ac:dyDescent="0.3">
      <c r="A48">
        <v>30</v>
      </c>
      <c r="B48" t="str">
        <f t="shared" si="1"/>
        <v>". . . . . . . ."</v>
      </c>
      <c r="C48" t="s">
        <v>30</v>
      </c>
      <c r="D48" t="s">
        <v>1</v>
      </c>
      <c r="E48" t="s">
        <v>1</v>
      </c>
      <c r="F48" t="s">
        <v>1</v>
      </c>
      <c r="G48" t="s">
        <v>1</v>
      </c>
      <c r="H48" t="s">
        <v>1</v>
      </c>
      <c r="I48" t="s">
        <v>1</v>
      </c>
      <c r="J48" t="s">
        <v>1</v>
      </c>
      <c r="K48" t="s">
        <v>1</v>
      </c>
    </row>
    <row r="49" spans="1:11" x14ac:dyDescent="0.3">
      <c r="B49" t="str">
        <f t="shared" si="1"/>
        <v>". . . . . . . ."</v>
      </c>
      <c r="C49" t="s">
        <v>30</v>
      </c>
      <c r="D49" t="s">
        <v>1</v>
      </c>
      <c r="E49" t="s">
        <v>1</v>
      </c>
      <c r="F49" t="s">
        <v>1</v>
      </c>
      <c r="G49" t="s">
        <v>1</v>
      </c>
      <c r="H49" t="s">
        <v>1</v>
      </c>
      <c r="I49" t="s">
        <v>1</v>
      </c>
      <c r="J49" t="s">
        <v>1</v>
      </c>
      <c r="K49" t="s">
        <v>1</v>
      </c>
    </row>
    <row r="50" spans="1:11" x14ac:dyDescent="0.3">
      <c r="A50">
        <v>31</v>
      </c>
      <c r="B50" t="str">
        <f t="shared" si="1"/>
        <v>". . . . . . . ."</v>
      </c>
      <c r="C50" t="s">
        <v>30</v>
      </c>
      <c r="D50" t="s">
        <v>1</v>
      </c>
      <c r="E50" t="s">
        <v>1</v>
      </c>
      <c r="F50" t="s">
        <v>1</v>
      </c>
      <c r="G50" t="s">
        <v>1</v>
      </c>
      <c r="H50" t="s">
        <v>1</v>
      </c>
      <c r="I50" t="s">
        <v>1</v>
      </c>
      <c r="J50" t="s">
        <v>1</v>
      </c>
      <c r="K50" t="s">
        <v>1</v>
      </c>
    </row>
    <row r="51" spans="1:11" x14ac:dyDescent="0.3">
      <c r="B51" t="str">
        <f t="shared" si="1"/>
        <v>". . . . . . . ."</v>
      </c>
      <c r="C51" t="s">
        <v>30</v>
      </c>
      <c r="D51" t="s">
        <v>1</v>
      </c>
      <c r="E51" t="s">
        <v>1</v>
      </c>
      <c r="F51" t="s">
        <v>1</v>
      </c>
      <c r="G51" t="s">
        <v>1</v>
      </c>
      <c r="H51" t="s">
        <v>1</v>
      </c>
      <c r="I51" t="s">
        <v>1</v>
      </c>
      <c r="J51" t="s">
        <v>1</v>
      </c>
      <c r="K51" t="s">
        <v>1</v>
      </c>
    </row>
    <row r="52" spans="1:11" x14ac:dyDescent="0.3">
      <c r="A52">
        <v>32</v>
      </c>
      <c r="B52" t="str">
        <f t="shared" si="1"/>
        <v>". . . . . . . ."</v>
      </c>
      <c r="C52" t="s">
        <v>30</v>
      </c>
      <c r="D52" t="s">
        <v>1</v>
      </c>
      <c r="E52" t="s">
        <v>1</v>
      </c>
      <c r="F52" t="s">
        <v>1</v>
      </c>
      <c r="G52" t="s">
        <v>1</v>
      </c>
      <c r="H52" t="s">
        <v>1</v>
      </c>
      <c r="I52" t="s">
        <v>1</v>
      </c>
      <c r="J52" t="s">
        <v>1</v>
      </c>
      <c r="K52" t="s">
        <v>1</v>
      </c>
    </row>
    <row r="53" spans="1:11" x14ac:dyDescent="0.3">
      <c r="B53" t="str">
        <f t="shared" si="1"/>
        <v>". . . . . . . ."</v>
      </c>
      <c r="C53" t="s">
        <v>30</v>
      </c>
      <c r="D53" t="s">
        <v>1</v>
      </c>
      <c r="E53" t="s">
        <v>1</v>
      </c>
      <c r="F53" t="s">
        <v>1</v>
      </c>
      <c r="G53" t="s">
        <v>1</v>
      </c>
      <c r="H53" t="s">
        <v>1</v>
      </c>
      <c r="I53" t="s">
        <v>1</v>
      </c>
      <c r="J53" t="s">
        <v>1</v>
      </c>
      <c r="K53" t="s">
        <v>1</v>
      </c>
    </row>
    <row r="54" spans="1:11" x14ac:dyDescent="0.3">
      <c r="A54">
        <v>33</v>
      </c>
      <c r="B54" t="str">
        <f t="shared" si="1"/>
        <v>"dan-8-1 dan-8-3 dan-8-5 dan-8-6 dan-8-7 j-dan-8-7 j-dan-8-7 j-dan-8-7"</v>
      </c>
      <c r="C54" t="s">
        <v>30</v>
      </c>
      <c r="D54" t="s">
        <v>416</v>
      </c>
      <c r="E54" t="s">
        <v>417</v>
      </c>
      <c r="F54" t="s">
        <v>418</v>
      </c>
      <c r="G54" t="s">
        <v>419</v>
      </c>
      <c r="H54" t="s">
        <v>420</v>
      </c>
      <c r="I54" t="s">
        <v>643</v>
      </c>
      <c r="J54" t="s">
        <v>643</v>
      </c>
      <c r="K54" t="s">
        <v>643</v>
      </c>
    </row>
    <row r="55" spans="1:11" x14ac:dyDescent="0.3">
      <c r="B55" t="str">
        <f t="shared" si="1"/>
        <v>". . . . . . . ."</v>
      </c>
      <c r="C55" t="s">
        <v>30</v>
      </c>
      <c r="D55" t="s">
        <v>1</v>
      </c>
      <c r="E55" t="s">
        <v>1</v>
      </c>
      <c r="F55" t="s">
        <v>1</v>
      </c>
      <c r="G55" t="s">
        <v>1</v>
      </c>
      <c r="H55" t="s">
        <v>1</v>
      </c>
      <c r="I55" t="s">
        <v>1</v>
      </c>
      <c r="J55" t="s">
        <v>1</v>
      </c>
      <c r="K55" t="s">
        <v>1</v>
      </c>
    </row>
    <row r="56" spans="1:11" x14ac:dyDescent="0.3">
      <c r="A56">
        <v>34</v>
      </c>
      <c r="B56" t="str">
        <f t="shared" si="1"/>
        <v>"j-dan-8-19b dan-8-20 dan-8-21 j-dan-8-21 j-dan-8-21 j-dan-8-21 j-dan-8-21 j-dan-8-21"</v>
      </c>
      <c r="C56" t="s">
        <v>30</v>
      </c>
      <c r="D56" t="s">
        <v>421</v>
      </c>
      <c r="E56" t="s">
        <v>422</v>
      </c>
      <c r="F56" t="s">
        <v>423</v>
      </c>
      <c r="G56" t="s">
        <v>424</v>
      </c>
      <c r="H56" t="s">
        <v>424</v>
      </c>
      <c r="I56" t="s">
        <v>424</v>
      </c>
      <c r="J56" t="s">
        <v>424</v>
      </c>
      <c r="K56" t="s">
        <v>424</v>
      </c>
    </row>
    <row r="57" spans="1:11" x14ac:dyDescent="0.3">
      <c r="B57" t="str">
        <f t="shared" si="1"/>
        <v>". . . . . . . ."</v>
      </c>
      <c r="C57" t="s">
        <v>30</v>
      </c>
      <c r="D57" t="s">
        <v>1</v>
      </c>
      <c r="E57" t="s">
        <v>1</v>
      </c>
      <c r="F57" t="s">
        <v>1</v>
      </c>
      <c r="G57" t="s">
        <v>1</v>
      </c>
      <c r="H57" t="s">
        <v>1</v>
      </c>
      <c r="I57" t="s">
        <v>1</v>
      </c>
      <c r="J57" t="s">
        <v>1</v>
      </c>
      <c r="K57" t="s">
        <v>1</v>
      </c>
    </row>
    <row r="58" spans="1:11" x14ac:dyDescent="0.3">
      <c r="A58">
        <v>35</v>
      </c>
      <c r="B58" t="str">
        <f t="shared" si="1"/>
        <v>"j-dan-11-2ba j-dan-11-2ba dan-11-2b j-dan-11-2bb dan-11-3 j-dan-11-3 j-dan-11-3 j-dan-11-3"</v>
      </c>
      <c r="C58" t="s">
        <v>30</v>
      </c>
      <c r="D58" t="s">
        <v>425</v>
      </c>
      <c r="E58" t="s">
        <v>425</v>
      </c>
      <c r="F58" t="s">
        <v>426</v>
      </c>
      <c r="G58" t="s">
        <v>427</v>
      </c>
      <c r="H58" t="s">
        <v>428</v>
      </c>
      <c r="I58" t="s">
        <v>644</v>
      </c>
      <c r="J58" t="s">
        <v>644</v>
      </c>
      <c r="K58" t="s">
        <v>644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566CF-5C5E-4C7E-BB09-638B4DF3C84F}">
  <dimension ref="A1:G58"/>
  <sheetViews>
    <sheetView workbookViewId="0">
      <selection activeCell="B4" sqref="B4:B32"/>
    </sheetView>
  </sheetViews>
  <sheetFormatPr defaultRowHeight="14.4" x14ac:dyDescent="0.3"/>
  <cols>
    <col min="1" max="1" width="5.44140625" customWidth="1"/>
    <col min="4" max="4" width="12.33203125" bestFit="1" customWidth="1"/>
  </cols>
  <sheetData>
    <row r="1" spans="1:7" x14ac:dyDescent="0.3">
      <c r="B1" t="s">
        <v>132</v>
      </c>
      <c r="C1">
        <f>COUNTA(D10:ZM10)</f>
        <v>4</v>
      </c>
    </row>
    <row r="2" spans="1:7" x14ac:dyDescent="0.3">
      <c r="B2" t="s">
        <v>131</v>
      </c>
      <c r="C2">
        <f>COUNTA(B10:B140)</f>
        <v>23</v>
      </c>
    </row>
    <row r="3" spans="1:7" x14ac:dyDescent="0.3">
      <c r="C3" t="s">
        <v>30</v>
      </c>
    </row>
    <row r="4" spans="1:7" x14ac:dyDescent="0.3">
      <c r="A4">
        <v>8</v>
      </c>
      <c r="B4" t="str">
        <f t="shared" ref="B4:B32" si="0">_xlfn.CONCAT(CHAR(34), _xlfn.TEXTJOIN(" ",TRUE,D4:ZM4),CHAR(34))</f>
        <v>". . . ."</v>
      </c>
      <c r="C4" t="s">
        <v>30</v>
      </c>
      <c r="D4" t="s">
        <v>1</v>
      </c>
      <c r="E4" t="s">
        <v>1</v>
      </c>
      <c r="F4" t="s">
        <v>1</v>
      </c>
      <c r="G4" t="s">
        <v>1</v>
      </c>
    </row>
    <row r="5" spans="1:7" x14ac:dyDescent="0.3">
      <c r="B5" t="str">
        <f t="shared" si="0"/>
        <v>". . . ."</v>
      </c>
      <c r="C5" t="s">
        <v>30</v>
      </c>
      <c r="D5" t="s">
        <v>1</v>
      </c>
      <c r="E5" t="s">
        <v>1</v>
      </c>
      <c r="F5" t="s">
        <v>1</v>
      </c>
      <c r="G5" t="s">
        <v>1</v>
      </c>
    </row>
    <row r="6" spans="1:7" x14ac:dyDescent="0.3">
      <c r="A6">
        <v>9</v>
      </c>
      <c r="B6" t="str">
        <f t="shared" si="0"/>
        <v>". . . ."</v>
      </c>
      <c r="C6" t="s">
        <v>30</v>
      </c>
      <c r="D6" t="s">
        <v>1</v>
      </c>
      <c r="E6" t="s">
        <v>1</v>
      </c>
      <c r="F6" t="s">
        <v>1</v>
      </c>
      <c r="G6" t="s">
        <v>1</v>
      </c>
    </row>
    <row r="7" spans="1:7" x14ac:dyDescent="0.3">
      <c r="B7" t="str">
        <f t="shared" si="0"/>
        <v>". . . ."</v>
      </c>
      <c r="C7" t="s">
        <v>30</v>
      </c>
      <c r="D7" t="s">
        <v>1</v>
      </c>
      <c r="E7" t="s">
        <v>1</v>
      </c>
      <c r="F7" t="s">
        <v>1</v>
      </c>
      <c r="G7" t="s">
        <v>1</v>
      </c>
    </row>
    <row r="8" spans="1:7" x14ac:dyDescent="0.3">
      <c r="A8">
        <v>10</v>
      </c>
      <c r="B8" t="str">
        <f t="shared" si="0"/>
        <v>"rev-6-9 j-rev-6-9 rev-6-10 rev-6-11"</v>
      </c>
      <c r="C8" t="s">
        <v>30</v>
      </c>
      <c r="D8" t="s">
        <v>152</v>
      </c>
      <c r="E8" t="s">
        <v>151</v>
      </c>
      <c r="F8" t="s">
        <v>150</v>
      </c>
      <c r="G8" t="s">
        <v>149</v>
      </c>
    </row>
    <row r="9" spans="1:7" x14ac:dyDescent="0.3">
      <c r="B9" t="str">
        <f t="shared" si="0"/>
        <v>". . . ."</v>
      </c>
      <c r="C9" t="s">
        <v>30</v>
      </c>
      <c r="D9" t="s">
        <v>1</v>
      </c>
      <c r="E9" t="s">
        <v>1</v>
      </c>
      <c r="F9" t="s">
        <v>1</v>
      </c>
      <c r="G9" t="s">
        <v>1</v>
      </c>
    </row>
    <row r="10" spans="1:7" x14ac:dyDescent="0.3">
      <c r="A10">
        <v>11</v>
      </c>
      <c r="B10" t="str">
        <f t="shared" si="0"/>
        <v>". . . ."</v>
      </c>
      <c r="C10" t="s">
        <v>30</v>
      </c>
      <c r="D10" t="s">
        <v>1</v>
      </c>
      <c r="E10" t="s">
        <v>1</v>
      </c>
      <c r="F10" t="s">
        <v>1</v>
      </c>
      <c r="G10" t="s">
        <v>1</v>
      </c>
    </row>
    <row r="11" spans="1:7" x14ac:dyDescent="0.3">
      <c r="B11" t="str">
        <f t="shared" si="0"/>
        <v>". . . ."</v>
      </c>
      <c r="C11" t="s">
        <v>30</v>
      </c>
      <c r="D11" t="s">
        <v>1</v>
      </c>
      <c r="E11" t="s">
        <v>1</v>
      </c>
      <c r="F11" t="s">
        <v>1</v>
      </c>
      <c r="G11" t="s">
        <v>1</v>
      </c>
    </row>
    <row r="12" spans="1:7" x14ac:dyDescent="0.3">
      <c r="A12">
        <v>12</v>
      </c>
      <c r="B12" t="str">
        <f t="shared" si="0"/>
        <v>". . . ."</v>
      </c>
      <c r="C12" t="s">
        <v>30</v>
      </c>
      <c r="D12" t="s">
        <v>1</v>
      </c>
      <c r="E12" t="s">
        <v>1</v>
      </c>
      <c r="F12" t="s">
        <v>1</v>
      </c>
      <c r="G12" t="s">
        <v>1</v>
      </c>
    </row>
    <row r="13" spans="1:7" x14ac:dyDescent="0.3">
      <c r="B13" t="str">
        <f t="shared" si="0"/>
        <v>". . . ."</v>
      </c>
      <c r="C13" t="s">
        <v>30</v>
      </c>
      <c r="D13" t="s">
        <v>1</v>
      </c>
      <c r="E13" t="s">
        <v>1</v>
      </c>
      <c r="F13" t="s">
        <v>1</v>
      </c>
      <c r="G13" t="s">
        <v>1</v>
      </c>
    </row>
    <row r="14" spans="1:7" x14ac:dyDescent="0.3">
      <c r="A14">
        <v>13</v>
      </c>
      <c r="B14" t="str">
        <f t="shared" si="0"/>
        <v>". . . ."</v>
      </c>
      <c r="C14" t="s">
        <v>30</v>
      </c>
      <c r="D14" t="s">
        <v>1</v>
      </c>
      <c r="E14" t="s">
        <v>1</v>
      </c>
      <c r="F14" t="s">
        <v>1</v>
      </c>
      <c r="G14" t="s">
        <v>1</v>
      </c>
    </row>
    <row r="15" spans="1:7" x14ac:dyDescent="0.3">
      <c r="B15" t="str">
        <f t="shared" si="0"/>
        <v>". . . ."</v>
      </c>
      <c r="C15" t="s">
        <v>30</v>
      </c>
      <c r="D15" t="s">
        <v>1</v>
      </c>
      <c r="E15" t="s">
        <v>1</v>
      </c>
      <c r="F15" t="s">
        <v>1</v>
      </c>
      <c r="G15" t="s">
        <v>1</v>
      </c>
    </row>
    <row r="16" spans="1:7" x14ac:dyDescent="0.3">
      <c r="A16">
        <v>14</v>
      </c>
      <c r="B16" t="str">
        <f t="shared" si="0"/>
        <v>". . . ."</v>
      </c>
      <c r="C16" t="s">
        <v>30</v>
      </c>
      <c r="D16" t="s">
        <v>1</v>
      </c>
      <c r="E16" t="s">
        <v>1</v>
      </c>
      <c r="F16" t="s">
        <v>1</v>
      </c>
      <c r="G16" t="s">
        <v>1</v>
      </c>
    </row>
    <row r="17" spans="1:7" x14ac:dyDescent="0.3">
      <c r="B17" t="str">
        <f t="shared" si="0"/>
        <v>". . . ."</v>
      </c>
      <c r="C17" t="s">
        <v>30</v>
      </c>
      <c r="D17" t="s">
        <v>1</v>
      </c>
      <c r="E17" t="s">
        <v>1</v>
      </c>
      <c r="F17" t="s">
        <v>1</v>
      </c>
      <c r="G17" t="s">
        <v>1</v>
      </c>
    </row>
    <row r="18" spans="1:7" x14ac:dyDescent="0.3">
      <c r="A18">
        <v>15</v>
      </c>
      <c r="B18" t="str">
        <f t="shared" si="0"/>
        <v>". . . ."</v>
      </c>
      <c r="C18" t="s">
        <v>30</v>
      </c>
      <c r="D18" t="s">
        <v>1</v>
      </c>
      <c r="E18" t="s">
        <v>1</v>
      </c>
      <c r="F18" t="s">
        <v>1</v>
      </c>
      <c r="G18" t="s">
        <v>1</v>
      </c>
    </row>
    <row r="19" spans="1:7" x14ac:dyDescent="0.3">
      <c r="B19" t="str">
        <f t="shared" si="0"/>
        <v>". . . ."</v>
      </c>
      <c r="C19" t="s">
        <v>30</v>
      </c>
      <c r="D19" t="s">
        <v>1</v>
      </c>
      <c r="E19" t="s">
        <v>1</v>
      </c>
      <c r="F19" t="s">
        <v>1</v>
      </c>
      <c r="G19" t="s">
        <v>1</v>
      </c>
    </row>
    <row r="20" spans="1:7" x14ac:dyDescent="0.3">
      <c r="A20">
        <v>16</v>
      </c>
      <c r="B20" t="str">
        <f t="shared" si="0"/>
        <v>". . . ."</v>
      </c>
      <c r="C20" t="s">
        <v>30</v>
      </c>
      <c r="D20" t="s">
        <v>1</v>
      </c>
      <c r="E20" t="s">
        <v>1</v>
      </c>
      <c r="F20" t="s">
        <v>1</v>
      </c>
      <c r="G20" t="s">
        <v>1</v>
      </c>
    </row>
    <row r="21" spans="1:7" x14ac:dyDescent="0.3">
      <c r="B21" t="str">
        <f t="shared" si="0"/>
        <v>". . . ."</v>
      </c>
      <c r="C21" t="s">
        <v>30</v>
      </c>
      <c r="D21" t="s">
        <v>1</v>
      </c>
      <c r="E21" t="s">
        <v>1</v>
      </c>
      <c r="F21" t="s">
        <v>1</v>
      </c>
      <c r="G21" t="s">
        <v>1</v>
      </c>
    </row>
    <row r="22" spans="1:7" x14ac:dyDescent="0.3">
      <c r="A22">
        <v>17</v>
      </c>
      <c r="B22" t="str">
        <f t="shared" si="0"/>
        <v>". . . ."</v>
      </c>
      <c r="C22" t="s">
        <v>30</v>
      </c>
      <c r="D22" t="s">
        <v>1</v>
      </c>
      <c r="E22" t="s">
        <v>1</v>
      </c>
      <c r="F22" t="s">
        <v>1</v>
      </c>
      <c r="G22" t="s">
        <v>1</v>
      </c>
    </row>
    <row r="23" spans="1:7" x14ac:dyDescent="0.3">
      <c r="B23" t="str">
        <f t="shared" si="0"/>
        <v>". . . ."</v>
      </c>
      <c r="C23" t="s">
        <v>30</v>
      </c>
      <c r="D23" t="s">
        <v>1</v>
      </c>
      <c r="E23" t="s">
        <v>1</v>
      </c>
      <c r="F23" t="s">
        <v>1</v>
      </c>
      <c r="G23" t="s">
        <v>1</v>
      </c>
    </row>
    <row r="24" spans="1:7" x14ac:dyDescent="0.3">
      <c r="A24">
        <v>18</v>
      </c>
      <c r="B24" t="str">
        <f t="shared" si="0"/>
        <v>". . . ."</v>
      </c>
      <c r="C24" t="s">
        <v>30</v>
      </c>
      <c r="D24" t="s">
        <v>1</v>
      </c>
      <c r="E24" t="s">
        <v>1</v>
      </c>
      <c r="F24" t="s">
        <v>1</v>
      </c>
      <c r="G24" t="s">
        <v>1</v>
      </c>
    </row>
    <row r="25" spans="1:7" x14ac:dyDescent="0.3">
      <c r="B25" t="str">
        <f t="shared" si="0"/>
        <v>". . . ."</v>
      </c>
      <c r="C25" t="s">
        <v>30</v>
      </c>
      <c r="D25" t="s">
        <v>1</v>
      </c>
      <c r="E25" t="s">
        <v>1</v>
      </c>
      <c r="F25" t="s">
        <v>1</v>
      </c>
      <c r="G25" t="s">
        <v>1</v>
      </c>
    </row>
    <row r="26" spans="1:7" x14ac:dyDescent="0.3">
      <c r="A26">
        <v>19</v>
      </c>
      <c r="B26" t="str">
        <f t="shared" si="0"/>
        <v>". . . ."</v>
      </c>
      <c r="C26" t="s">
        <v>30</v>
      </c>
      <c r="D26" t="s">
        <v>1</v>
      </c>
      <c r="E26" t="s">
        <v>1</v>
      </c>
      <c r="F26" t="s">
        <v>1</v>
      </c>
      <c r="G26" t="s">
        <v>1</v>
      </c>
    </row>
    <row r="27" spans="1:7" x14ac:dyDescent="0.3">
      <c r="B27" t="str">
        <f t="shared" si="0"/>
        <v>". . . ."</v>
      </c>
      <c r="C27" t="s">
        <v>30</v>
      </c>
      <c r="D27" t="s">
        <v>1</v>
      </c>
      <c r="E27" t="s">
        <v>1</v>
      </c>
      <c r="F27" t="s">
        <v>1</v>
      </c>
      <c r="G27" t="s">
        <v>1</v>
      </c>
    </row>
    <row r="28" spans="1:7" x14ac:dyDescent="0.3">
      <c r="A28">
        <v>20</v>
      </c>
      <c r="B28" t="str">
        <f t="shared" si="0"/>
        <v>"j-deu-32-20b deu-32-21 j-deu-32-21 j-deu-32-21"</v>
      </c>
      <c r="C28" t="s">
        <v>30</v>
      </c>
      <c r="D28" t="s">
        <v>442</v>
      </c>
      <c r="E28" t="s">
        <v>443</v>
      </c>
      <c r="F28" t="s">
        <v>444</v>
      </c>
      <c r="G28" t="s">
        <v>444</v>
      </c>
    </row>
    <row r="29" spans="1:7" x14ac:dyDescent="0.3">
      <c r="B29" t="str">
        <f t="shared" si="0"/>
        <v>". . . ."</v>
      </c>
      <c r="C29" t="s">
        <v>30</v>
      </c>
      <c r="D29" t="s">
        <v>1</v>
      </c>
      <c r="E29" t="s">
        <v>1</v>
      </c>
      <c r="F29" t="s">
        <v>1</v>
      </c>
      <c r="G29" t="s">
        <v>1</v>
      </c>
    </row>
    <row r="30" spans="1:7" x14ac:dyDescent="0.3">
      <c r="A30">
        <v>21</v>
      </c>
      <c r="B30" t="str">
        <f t="shared" si="0"/>
        <v>". . . ."</v>
      </c>
      <c r="C30" t="s">
        <v>30</v>
      </c>
      <c r="D30" t="s">
        <v>1</v>
      </c>
      <c r="E30" t="s">
        <v>1</v>
      </c>
      <c r="F30" t="s">
        <v>1</v>
      </c>
      <c r="G30" t="s">
        <v>1</v>
      </c>
    </row>
    <row r="31" spans="1:7" x14ac:dyDescent="0.3">
      <c r="B31" t="str">
        <f t="shared" si="0"/>
        <v>". . . ."</v>
      </c>
      <c r="C31" t="s">
        <v>30</v>
      </c>
      <c r="D31" t="s">
        <v>1</v>
      </c>
      <c r="E31" t="s">
        <v>1</v>
      </c>
      <c r="F31" t="s">
        <v>1</v>
      </c>
      <c r="G31" t="s">
        <v>1</v>
      </c>
    </row>
    <row r="32" spans="1:7" x14ac:dyDescent="0.3">
      <c r="A32">
        <v>22</v>
      </c>
      <c r="B32" t="str">
        <f t="shared" si="0"/>
        <v>"j-es2-15-7 es2-15-7 es2-15-8b es2-15-9"</v>
      </c>
      <c r="C32" t="s">
        <v>30</v>
      </c>
      <c r="D32" t="s">
        <v>148</v>
      </c>
      <c r="E32" t="s">
        <v>147</v>
      </c>
      <c r="F32" t="s">
        <v>146</v>
      </c>
      <c r="G32" t="s">
        <v>145</v>
      </c>
    </row>
    <row r="34" spans="1:1" x14ac:dyDescent="0.3">
      <c r="A34">
        <v>23</v>
      </c>
    </row>
    <row r="36" spans="1:1" x14ac:dyDescent="0.3">
      <c r="A36">
        <v>24</v>
      </c>
    </row>
    <row r="38" spans="1:1" x14ac:dyDescent="0.3">
      <c r="A38">
        <v>25</v>
      </c>
    </row>
    <row r="40" spans="1:1" x14ac:dyDescent="0.3">
      <c r="A40">
        <v>26</v>
      </c>
    </row>
    <row r="42" spans="1:1" x14ac:dyDescent="0.3">
      <c r="A42">
        <v>27</v>
      </c>
    </row>
    <row r="44" spans="1:1" x14ac:dyDescent="0.3">
      <c r="A44">
        <v>28</v>
      </c>
    </row>
    <row r="46" spans="1:1" x14ac:dyDescent="0.3">
      <c r="A46">
        <v>29</v>
      </c>
    </row>
    <row r="48" spans="1:1" x14ac:dyDescent="0.3">
      <c r="A48">
        <v>30</v>
      </c>
    </row>
    <row r="50" spans="1:1" x14ac:dyDescent="0.3">
      <c r="A50">
        <v>31</v>
      </c>
    </row>
    <row r="52" spans="1:1" x14ac:dyDescent="0.3">
      <c r="A52">
        <v>32</v>
      </c>
    </row>
    <row r="54" spans="1:1" x14ac:dyDescent="0.3">
      <c r="A54">
        <v>33</v>
      </c>
    </row>
    <row r="56" spans="1:1" x14ac:dyDescent="0.3">
      <c r="A56">
        <v>34</v>
      </c>
    </row>
    <row r="58" spans="1:1" x14ac:dyDescent="0.3">
      <c r="A58">
        <v>35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ADB84-65D2-448D-9CB4-4507BDCAC92C}">
  <dimension ref="A1:K58"/>
  <sheetViews>
    <sheetView workbookViewId="0">
      <selection activeCell="B4" sqref="B4:B40"/>
    </sheetView>
  </sheetViews>
  <sheetFormatPr defaultRowHeight="14.4" x14ac:dyDescent="0.3"/>
  <cols>
    <col min="1" max="1" width="5.44140625" customWidth="1"/>
    <col min="2" max="2" width="11.109375" customWidth="1"/>
    <col min="4" max="4" width="12.33203125" bestFit="1" customWidth="1"/>
    <col min="5" max="5" width="14.5546875" bestFit="1" customWidth="1"/>
    <col min="6" max="6" width="11" bestFit="1" customWidth="1"/>
    <col min="7" max="8" width="12.33203125" bestFit="1" customWidth="1"/>
    <col min="9" max="9" width="11.109375" bestFit="1" customWidth="1"/>
    <col min="10" max="10" width="14.109375" bestFit="1" customWidth="1"/>
    <col min="11" max="11" width="11.21875" bestFit="1" customWidth="1"/>
    <col min="12" max="12" width="12.5546875" bestFit="1" customWidth="1"/>
  </cols>
  <sheetData>
    <row r="1" spans="1:11" x14ac:dyDescent="0.3">
      <c r="B1" t="s">
        <v>132</v>
      </c>
      <c r="C1">
        <f>COUNTA(D8:ZU8)</f>
        <v>8</v>
      </c>
    </row>
    <row r="2" spans="1:11" x14ac:dyDescent="0.3">
      <c r="B2" t="s">
        <v>131</v>
      </c>
      <c r="C2">
        <f>COUNTA(B8:B143)</f>
        <v>33</v>
      </c>
    </row>
    <row r="3" spans="1:11" x14ac:dyDescent="0.3">
      <c r="C3" t="s">
        <v>30</v>
      </c>
    </row>
    <row r="4" spans="1:11" x14ac:dyDescent="0.3">
      <c r="A4">
        <v>8</v>
      </c>
      <c r="B4" t="str">
        <f t="shared" ref="B4:B40" si="0">_xlfn.CONCAT(CHAR(34), _xlfn.TEXTJOIN(" ",TRUE,D4:ZU4),CHAR(34))</f>
        <v>"j-rev-12-3 j-rev-12-3 rev-12-4 j-rev-12-4 j-rev-12-4 j-rev-12-4 j-rev-12-4 j-rev-12-4"</v>
      </c>
      <c r="C4" t="s">
        <v>30</v>
      </c>
      <c r="D4" t="s">
        <v>193</v>
      </c>
      <c r="E4" t="s">
        <v>193</v>
      </c>
      <c r="F4" t="s">
        <v>192</v>
      </c>
      <c r="G4" t="s">
        <v>191</v>
      </c>
      <c r="H4" t="s">
        <v>191</v>
      </c>
      <c r="I4" t="s">
        <v>191</v>
      </c>
      <c r="J4" t="s">
        <v>191</v>
      </c>
      <c r="K4" t="s">
        <v>191</v>
      </c>
    </row>
    <row r="5" spans="1:11" x14ac:dyDescent="0.3">
      <c r="B5" t="str">
        <f t="shared" si="0"/>
        <v>". . . . . . . ."</v>
      </c>
      <c r="C5" t="s">
        <v>30</v>
      </c>
      <c r="D5" t="s">
        <v>1</v>
      </c>
      <c r="E5" t="s">
        <v>1</v>
      </c>
      <c r="F5" t="s">
        <v>1</v>
      </c>
      <c r="G5" t="s">
        <v>1</v>
      </c>
      <c r="H5" t="s">
        <v>1</v>
      </c>
      <c r="I5" t="s">
        <v>1</v>
      </c>
      <c r="J5" t="s">
        <v>1</v>
      </c>
      <c r="K5" t="s">
        <v>1</v>
      </c>
    </row>
    <row r="6" spans="1:11" x14ac:dyDescent="0.3">
      <c r="A6">
        <v>9</v>
      </c>
      <c r="B6" t="str">
        <f t="shared" si="0"/>
        <v>". j-song-2-13-s song-2-13a j-song-2-13a j-song-2-13a j-song-2-13a j-song-2-13a j-song-2-13a"</v>
      </c>
      <c r="C6" t="s">
        <v>30</v>
      </c>
      <c r="D6" t="s">
        <v>1</v>
      </c>
      <c r="E6" t="s">
        <v>161</v>
      </c>
      <c r="F6" t="s">
        <v>160</v>
      </c>
      <c r="G6" t="s">
        <v>159</v>
      </c>
      <c r="H6" t="s">
        <v>159</v>
      </c>
      <c r="I6" t="s">
        <v>159</v>
      </c>
      <c r="J6" t="s">
        <v>159</v>
      </c>
      <c r="K6" t="s">
        <v>159</v>
      </c>
    </row>
    <row r="7" spans="1:11" x14ac:dyDescent="0.3">
      <c r="B7" t="str">
        <f t="shared" si="0"/>
        <v>". . . . . . . ."</v>
      </c>
      <c r="C7" t="s">
        <v>30</v>
      </c>
      <c r="D7" t="s">
        <v>1</v>
      </c>
      <c r="E7" t="s">
        <v>1</v>
      </c>
      <c r="F7" t="s">
        <v>1</v>
      </c>
      <c r="G7" t="s">
        <v>1</v>
      </c>
      <c r="H7" t="s">
        <v>1</v>
      </c>
      <c r="I7" t="s">
        <v>1</v>
      </c>
      <c r="J7" t="s">
        <v>1</v>
      </c>
      <c r="K7" t="s">
        <v>1</v>
      </c>
    </row>
    <row r="8" spans="1:11" x14ac:dyDescent="0.3">
      <c r="A8">
        <v>10</v>
      </c>
      <c r="B8" t="str">
        <f t="shared" si="0"/>
        <v>"j-rev6-11 rev-6-1 rev-6-2 rev-6-3 rev-6-4 j-rev6-15 rev-6-16a rev-6-16b"</v>
      </c>
      <c r="C8" t="s">
        <v>30</v>
      </c>
      <c r="D8" t="s">
        <v>190</v>
      </c>
      <c r="E8" t="s">
        <v>134</v>
      </c>
      <c r="F8" t="s">
        <v>133</v>
      </c>
      <c r="G8" t="s">
        <v>135</v>
      </c>
      <c r="H8" t="s">
        <v>189</v>
      </c>
      <c r="I8" t="s">
        <v>188</v>
      </c>
      <c r="J8" t="s">
        <v>187</v>
      </c>
      <c r="K8" t="s">
        <v>186</v>
      </c>
    </row>
    <row r="9" spans="1:11" x14ac:dyDescent="0.3">
      <c r="B9" t="str">
        <f t="shared" si="0"/>
        <v>". . . . . . . ."</v>
      </c>
      <c r="C9" t="s">
        <v>30</v>
      </c>
      <c r="D9" t="s">
        <v>1</v>
      </c>
      <c r="E9" t="s">
        <v>1</v>
      </c>
      <c r="F9" t="s">
        <v>1</v>
      </c>
      <c r="G9" t="s">
        <v>1</v>
      </c>
      <c r="H9" t="s">
        <v>1</v>
      </c>
      <c r="I9" t="s">
        <v>1</v>
      </c>
      <c r="J9" t="s">
        <v>1</v>
      </c>
      <c r="K9" t="s">
        <v>1</v>
      </c>
    </row>
    <row r="10" spans="1:11" x14ac:dyDescent="0.3">
      <c r="A10">
        <v>11</v>
      </c>
      <c r="B10" t="str">
        <f t="shared" si="0"/>
        <v>"mat-24-29a mat-24-29b mat-24-29c j-mat-24-29c j-mat-24-29c mat-24-29d mat-24-30a j-mat-24-30a"</v>
      </c>
      <c r="C10" t="s">
        <v>30</v>
      </c>
      <c r="D10" t="s">
        <v>185</v>
      </c>
      <c r="E10" t="s">
        <v>184</v>
      </c>
      <c r="F10" t="s">
        <v>183</v>
      </c>
      <c r="G10" t="s">
        <v>182</v>
      </c>
      <c r="H10" t="s">
        <v>182</v>
      </c>
      <c r="I10" t="s">
        <v>181</v>
      </c>
      <c r="J10" t="s">
        <v>180</v>
      </c>
      <c r="K10" t="s">
        <v>179</v>
      </c>
    </row>
    <row r="11" spans="1:11" x14ac:dyDescent="0.3">
      <c r="B11" t="str">
        <f t="shared" si="0"/>
        <v>". . . . . . . ."</v>
      </c>
      <c r="C11" t="s">
        <v>30</v>
      </c>
      <c r="D11" t="s">
        <v>1</v>
      </c>
      <c r="E11" t="s">
        <v>1</v>
      </c>
      <c r="F11" t="s">
        <v>1</v>
      </c>
      <c r="G11" t="s">
        <v>1</v>
      </c>
      <c r="H11" t="s">
        <v>1</v>
      </c>
      <c r="I11" t="s">
        <v>1</v>
      </c>
      <c r="J11" t="s">
        <v>1</v>
      </c>
      <c r="K11" t="s">
        <v>1</v>
      </c>
    </row>
    <row r="12" spans="1:11" x14ac:dyDescent="0.3">
      <c r="A12">
        <v>12</v>
      </c>
      <c r="B12" t="str">
        <f t="shared" si="0"/>
        <v>"mark-13-24a mark-13-24b mark-13-25a j-mark-13-25a j-mark-13-25a mark-13-25b j-mark-13-25b j-mark-13-25b"</v>
      </c>
      <c r="C12" t="s">
        <v>30</v>
      </c>
      <c r="D12" t="s">
        <v>178</v>
      </c>
      <c r="E12" t="s">
        <v>177</v>
      </c>
      <c r="F12" t="s">
        <v>176</v>
      </c>
      <c r="G12" t="s">
        <v>175</v>
      </c>
      <c r="H12" t="s">
        <v>175</v>
      </c>
      <c r="I12" t="s">
        <v>174</v>
      </c>
      <c r="J12" t="s">
        <v>173</v>
      </c>
      <c r="K12" t="s">
        <v>173</v>
      </c>
    </row>
    <row r="13" spans="1:11" x14ac:dyDescent="0.3">
      <c r="B13" t="str">
        <f t="shared" si="0"/>
        <v>". . . . . . . ."</v>
      </c>
      <c r="C13" t="s">
        <v>30</v>
      </c>
      <c r="D13" t="s">
        <v>1</v>
      </c>
      <c r="E13" t="s">
        <v>1</v>
      </c>
      <c r="F13" t="s">
        <v>1</v>
      </c>
      <c r="G13" t="s">
        <v>1</v>
      </c>
      <c r="H13" t="s">
        <v>1</v>
      </c>
      <c r="I13" t="s">
        <v>1</v>
      </c>
      <c r="J13" t="s">
        <v>1</v>
      </c>
      <c r="K13" t="s">
        <v>1</v>
      </c>
    </row>
    <row r="14" spans="1:11" x14ac:dyDescent="0.3">
      <c r="A14">
        <v>13</v>
      </c>
      <c r="B14" t="str">
        <f t="shared" si="0"/>
        <v>"j-luke-21-25-s luke-21-25a luke-21-25b luke-21-25c luke-21-26a luke-21-26b j-luke-21-26b j-luke-21-26b"</v>
      </c>
      <c r="C14" t="s">
        <v>30</v>
      </c>
      <c r="D14" t="s">
        <v>172</v>
      </c>
      <c r="E14" t="s">
        <v>171</v>
      </c>
      <c r="F14" t="s">
        <v>170</v>
      </c>
      <c r="G14" t="s">
        <v>169</v>
      </c>
      <c r="H14" t="s">
        <v>168</v>
      </c>
      <c r="I14" t="s">
        <v>167</v>
      </c>
      <c r="J14" t="s">
        <v>166</v>
      </c>
      <c r="K14" t="s">
        <v>166</v>
      </c>
    </row>
    <row r="15" spans="1:11" x14ac:dyDescent="0.3">
      <c r="B15" t="str">
        <f t="shared" si="0"/>
        <v>". . . . . . . ."</v>
      </c>
      <c r="C15" t="s">
        <v>30</v>
      </c>
      <c r="D15" t="s">
        <v>1</v>
      </c>
      <c r="E15" t="s">
        <v>1</v>
      </c>
      <c r="F15" t="s">
        <v>1</v>
      </c>
      <c r="G15" t="s">
        <v>1</v>
      </c>
      <c r="H15" t="s">
        <v>1</v>
      </c>
      <c r="I15" t="s">
        <v>1</v>
      </c>
      <c r="J15" t="s">
        <v>1</v>
      </c>
      <c r="K15" t="s">
        <v>1</v>
      </c>
    </row>
    <row r="16" spans="1:11" x14ac:dyDescent="0.3">
      <c r="A16">
        <v>14</v>
      </c>
      <c r="B16" t="str">
        <f t="shared" si="0"/>
        <v>". . . . . . . ."</v>
      </c>
      <c r="C16" t="s">
        <v>30</v>
      </c>
      <c r="D16" t="s">
        <v>1</v>
      </c>
      <c r="E16" t="s">
        <v>1</v>
      </c>
      <c r="F16" t="s">
        <v>1</v>
      </c>
      <c r="G16" t="s">
        <v>1</v>
      </c>
      <c r="H16" t="s">
        <v>1</v>
      </c>
      <c r="I16" t="s">
        <v>1</v>
      </c>
      <c r="J16" t="s">
        <v>1</v>
      </c>
      <c r="K16" t="s">
        <v>1</v>
      </c>
    </row>
    <row r="17" spans="1:11" x14ac:dyDescent="0.3">
      <c r="B17" t="str">
        <f t="shared" si="0"/>
        <v>". . . . . . . ."</v>
      </c>
      <c r="C17" t="s">
        <v>30</v>
      </c>
      <c r="D17" t="s">
        <v>1</v>
      </c>
      <c r="E17" t="s">
        <v>1</v>
      </c>
      <c r="F17" t="s">
        <v>1</v>
      </c>
      <c r="G17" t="s">
        <v>1</v>
      </c>
      <c r="H17" t="s">
        <v>1</v>
      </c>
      <c r="I17" t="s">
        <v>1</v>
      </c>
      <c r="J17" t="s">
        <v>1</v>
      </c>
      <c r="K17" t="s">
        <v>1</v>
      </c>
    </row>
    <row r="18" spans="1:11" x14ac:dyDescent="0.3">
      <c r="A18">
        <v>15</v>
      </c>
      <c r="B18" t="str">
        <f t="shared" si="0"/>
        <v>". . . . . . . ."</v>
      </c>
      <c r="C18" t="s">
        <v>30</v>
      </c>
      <c r="D18" t="s">
        <v>1</v>
      </c>
      <c r="E18" t="s">
        <v>1</v>
      </c>
      <c r="F18" t="s">
        <v>1</v>
      </c>
      <c r="G18" t="s">
        <v>1</v>
      </c>
      <c r="H18" t="s">
        <v>1</v>
      </c>
      <c r="I18" t="s">
        <v>1</v>
      </c>
      <c r="J18" t="s">
        <v>1</v>
      </c>
      <c r="K18" t="s">
        <v>1</v>
      </c>
    </row>
    <row r="19" spans="1:11" x14ac:dyDescent="0.3">
      <c r="B19" t="str">
        <f t="shared" si="0"/>
        <v>". . . . . . . ."</v>
      </c>
      <c r="C19" t="s">
        <v>30</v>
      </c>
      <c r="D19" t="s">
        <v>1</v>
      </c>
      <c r="E19" t="s">
        <v>1</v>
      </c>
      <c r="F19" t="s">
        <v>1</v>
      </c>
      <c r="G19" t="s">
        <v>1</v>
      </c>
      <c r="H19" t="s">
        <v>1</v>
      </c>
      <c r="I19" t="s">
        <v>1</v>
      </c>
      <c r="J19" t="s">
        <v>1</v>
      </c>
      <c r="K19" t="s">
        <v>1</v>
      </c>
    </row>
    <row r="20" spans="1:11" x14ac:dyDescent="0.3">
      <c r="A20">
        <v>16</v>
      </c>
      <c r="B20" t="str">
        <f t="shared" si="0"/>
        <v>". . . . . . . ."</v>
      </c>
      <c r="C20" t="s">
        <v>30</v>
      </c>
      <c r="D20" t="s">
        <v>1</v>
      </c>
      <c r="E20" t="s">
        <v>1</v>
      </c>
      <c r="F20" t="s">
        <v>1</v>
      </c>
      <c r="G20" t="s">
        <v>1</v>
      </c>
      <c r="H20" t="s">
        <v>1</v>
      </c>
      <c r="I20" t="s">
        <v>1</v>
      </c>
      <c r="J20" t="s">
        <v>1</v>
      </c>
      <c r="K20" t="s">
        <v>1</v>
      </c>
    </row>
    <row r="21" spans="1:11" x14ac:dyDescent="0.3">
      <c r="B21" t="str">
        <f t="shared" si="0"/>
        <v>". . . . . . . ."</v>
      </c>
      <c r="C21" t="s">
        <v>30</v>
      </c>
      <c r="D21" t="s">
        <v>1</v>
      </c>
      <c r="E21" t="s">
        <v>1</v>
      </c>
      <c r="F21" t="s">
        <v>1</v>
      </c>
      <c r="G21" t="s">
        <v>1</v>
      </c>
      <c r="H21" t="s">
        <v>1</v>
      </c>
      <c r="I21" t="s">
        <v>1</v>
      </c>
      <c r="J21" t="s">
        <v>1</v>
      </c>
      <c r="K21" t="s">
        <v>1</v>
      </c>
    </row>
    <row r="22" spans="1:11" x14ac:dyDescent="0.3">
      <c r="A22">
        <v>17</v>
      </c>
      <c r="B22" t="str">
        <f t="shared" si="0"/>
        <v>"j-rev-4-2 rev-4-2a j-rev-4-2a j-rev-4-2a j-rev-4-2a j-rev-4-2a j-rev-4-2a rev-4-2b"</v>
      </c>
      <c r="C22" t="s">
        <v>30</v>
      </c>
      <c r="D22" t="s">
        <v>165</v>
      </c>
      <c r="E22" t="s">
        <v>164</v>
      </c>
      <c r="F22" t="s">
        <v>163</v>
      </c>
      <c r="G22" t="s">
        <v>163</v>
      </c>
      <c r="H22" t="s">
        <v>163</v>
      </c>
      <c r="I22" t="s">
        <v>163</v>
      </c>
      <c r="J22" t="s">
        <v>163</v>
      </c>
      <c r="K22" t="s">
        <v>162</v>
      </c>
    </row>
    <row r="23" spans="1:11" x14ac:dyDescent="0.3">
      <c r="B23" t="str">
        <f t="shared" si="0"/>
        <v>". . . . . . . ."</v>
      </c>
      <c r="C23" t="s">
        <v>30</v>
      </c>
      <c r="D23" t="s">
        <v>1</v>
      </c>
      <c r="E23" t="s">
        <v>1</v>
      </c>
      <c r="F23" t="s">
        <v>1</v>
      </c>
      <c r="G23" t="s">
        <v>1</v>
      </c>
      <c r="H23" t="s">
        <v>1</v>
      </c>
      <c r="I23" t="s">
        <v>1</v>
      </c>
      <c r="J23" t="s">
        <v>1</v>
      </c>
      <c r="K23" t="s">
        <v>1</v>
      </c>
    </row>
    <row r="24" spans="1:11" x14ac:dyDescent="0.3">
      <c r="A24">
        <v>18</v>
      </c>
      <c r="B24" t="str">
        <f t="shared" si="0"/>
        <v>". . . . . . . ."</v>
      </c>
      <c r="C24" t="s">
        <v>30</v>
      </c>
      <c r="D24" t="s">
        <v>1</v>
      </c>
      <c r="E24" t="s">
        <v>1</v>
      </c>
      <c r="F24" t="s">
        <v>1</v>
      </c>
      <c r="G24" t="s">
        <v>1</v>
      </c>
      <c r="H24" t="s">
        <v>1</v>
      </c>
      <c r="I24" t="s">
        <v>1</v>
      </c>
      <c r="J24" t="s">
        <v>1</v>
      </c>
      <c r="K24" t="s">
        <v>1</v>
      </c>
    </row>
    <row r="25" spans="1:11" x14ac:dyDescent="0.3">
      <c r="B25" t="str">
        <f t="shared" si="0"/>
        <v>". . . . . . . ."</v>
      </c>
      <c r="C25" t="s">
        <v>30</v>
      </c>
      <c r="D25" t="s">
        <v>1</v>
      </c>
      <c r="E25" t="s">
        <v>1</v>
      </c>
      <c r="F25" t="s">
        <v>1</v>
      </c>
      <c r="G25" t="s">
        <v>1</v>
      </c>
      <c r="H25" t="s">
        <v>1</v>
      </c>
      <c r="I25" t="s">
        <v>1</v>
      </c>
      <c r="J25" t="s">
        <v>1</v>
      </c>
      <c r="K25" t="s">
        <v>1</v>
      </c>
    </row>
    <row r="26" spans="1:11" x14ac:dyDescent="0.3">
      <c r="A26">
        <v>19</v>
      </c>
      <c r="B26" t="str">
        <f t="shared" si="0"/>
        <v>". . . . . . . ."</v>
      </c>
      <c r="C26" t="s">
        <v>30</v>
      </c>
      <c r="D26" t="s">
        <v>1</v>
      </c>
      <c r="E26" t="s">
        <v>1</v>
      </c>
      <c r="F26" t="s">
        <v>1</v>
      </c>
      <c r="G26" t="s">
        <v>1</v>
      </c>
      <c r="H26" t="s">
        <v>1</v>
      </c>
      <c r="I26" t="s">
        <v>1</v>
      </c>
      <c r="J26" t="s">
        <v>1</v>
      </c>
      <c r="K26" t="s">
        <v>1</v>
      </c>
    </row>
    <row r="27" spans="1:11" x14ac:dyDescent="0.3">
      <c r="B27" t="str">
        <f t="shared" si="0"/>
        <v>". . . . . . . ."</v>
      </c>
      <c r="C27" t="s">
        <v>30</v>
      </c>
      <c r="D27" t="s">
        <v>1</v>
      </c>
      <c r="E27" t="s">
        <v>1</v>
      </c>
      <c r="F27" t="s">
        <v>1</v>
      </c>
      <c r="G27" t="s">
        <v>1</v>
      </c>
      <c r="H27" t="s">
        <v>1</v>
      </c>
      <c r="I27" t="s">
        <v>1</v>
      </c>
      <c r="J27" t="s">
        <v>1</v>
      </c>
      <c r="K27" t="s">
        <v>1</v>
      </c>
    </row>
    <row r="28" spans="1:11" x14ac:dyDescent="0.3">
      <c r="A28">
        <v>20</v>
      </c>
      <c r="B28" t="str">
        <f t="shared" si="0"/>
        <v>". . . . . . . ."</v>
      </c>
      <c r="C28" t="s">
        <v>30</v>
      </c>
      <c r="D28" t="s">
        <v>1</v>
      </c>
      <c r="E28" t="s">
        <v>1</v>
      </c>
      <c r="F28" t="s">
        <v>1</v>
      </c>
      <c r="G28" t="s">
        <v>1</v>
      </c>
      <c r="H28" t="s">
        <v>1</v>
      </c>
      <c r="I28" t="s">
        <v>1</v>
      </c>
      <c r="J28" t="s">
        <v>1</v>
      </c>
      <c r="K28" t="s">
        <v>1</v>
      </c>
    </row>
    <row r="29" spans="1:11" x14ac:dyDescent="0.3">
      <c r="B29" t="str">
        <f t="shared" si="0"/>
        <v>". . . . . . . ."</v>
      </c>
      <c r="C29" t="s">
        <v>30</v>
      </c>
      <c r="D29" t="s">
        <v>1</v>
      </c>
      <c r="E29" t="s">
        <v>1</v>
      </c>
      <c r="F29" t="s">
        <v>1</v>
      </c>
      <c r="G29" t="s">
        <v>1</v>
      </c>
      <c r="H29" t="s">
        <v>1</v>
      </c>
      <c r="I29" t="s">
        <v>1</v>
      </c>
      <c r="J29" t="s">
        <v>1</v>
      </c>
      <c r="K29" t="s">
        <v>1</v>
      </c>
    </row>
    <row r="30" spans="1:11" x14ac:dyDescent="0.3">
      <c r="A30">
        <v>21</v>
      </c>
      <c r="B30" t="str">
        <f t="shared" si="0"/>
        <v>". . . . . . . ."</v>
      </c>
      <c r="C30" t="s">
        <v>30</v>
      </c>
      <c r="D30" t="s">
        <v>1</v>
      </c>
      <c r="E30" t="s">
        <v>1</v>
      </c>
      <c r="F30" t="s">
        <v>1</v>
      </c>
      <c r="G30" t="s">
        <v>1</v>
      </c>
      <c r="H30" t="s">
        <v>1</v>
      </c>
      <c r="I30" t="s">
        <v>1</v>
      </c>
      <c r="J30" t="s">
        <v>1</v>
      </c>
      <c r="K30" t="s">
        <v>1</v>
      </c>
    </row>
    <row r="31" spans="1:11" x14ac:dyDescent="0.3">
      <c r="B31" t="str">
        <f t="shared" si="0"/>
        <v>". . . . . . . ."</v>
      </c>
      <c r="C31" t="s">
        <v>30</v>
      </c>
      <c r="D31" t="s">
        <v>1</v>
      </c>
      <c r="E31" t="s">
        <v>1</v>
      </c>
      <c r="F31" t="s">
        <v>1</v>
      </c>
      <c r="G31" t="s">
        <v>1</v>
      </c>
      <c r="H31" t="s">
        <v>1</v>
      </c>
      <c r="I31" t="s">
        <v>1</v>
      </c>
      <c r="J31" t="s">
        <v>1</v>
      </c>
      <c r="K31" t="s">
        <v>1</v>
      </c>
    </row>
    <row r="32" spans="1:11" x14ac:dyDescent="0.3">
      <c r="A32">
        <v>22</v>
      </c>
      <c r="B32" t="str">
        <f t="shared" si="0"/>
        <v>"j-es2-15-8b j-es2-15-8b j-es2-15-8b j-es2-15-8b j-es2-15-8b j-es2-15-8b j-es2-15-8b j-es2-15-8b"</v>
      </c>
      <c r="C32" t="s">
        <v>30</v>
      </c>
      <c r="D32" t="s">
        <v>158</v>
      </c>
      <c r="E32" t="s">
        <v>158</v>
      </c>
      <c r="F32" t="s">
        <v>158</v>
      </c>
      <c r="G32" t="s">
        <v>158</v>
      </c>
      <c r="H32" t="s">
        <v>158</v>
      </c>
      <c r="I32" t="s">
        <v>158</v>
      </c>
      <c r="J32" t="s">
        <v>158</v>
      </c>
      <c r="K32" t="s">
        <v>158</v>
      </c>
    </row>
    <row r="33" spans="1:11" x14ac:dyDescent="0.3">
      <c r="B33" t="str">
        <f t="shared" si="0"/>
        <v>". . . . . . . ."</v>
      </c>
      <c r="C33" t="s">
        <v>30</v>
      </c>
      <c r="D33" t="s">
        <v>1</v>
      </c>
      <c r="E33" t="s">
        <v>1</v>
      </c>
      <c r="F33" t="s">
        <v>1</v>
      </c>
      <c r="G33" t="s">
        <v>1</v>
      </c>
      <c r="H33" t="s">
        <v>1</v>
      </c>
      <c r="I33" t="s">
        <v>1</v>
      </c>
      <c r="J33" t="s">
        <v>1</v>
      </c>
      <c r="K33" t="s">
        <v>1</v>
      </c>
    </row>
    <row r="34" spans="1:11" x14ac:dyDescent="0.3">
      <c r="A34">
        <v>23</v>
      </c>
      <c r="B34" t="str">
        <f t="shared" si="0"/>
        <v>". . . . . . . ."</v>
      </c>
      <c r="C34" t="s">
        <v>30</v>
      </c>
      <c r="D34" t="s">
        <v>1</v>
      </c>
      <c r="E34" t="s">
        <v>1</v>
      </c>
      <c r="F34" t="s">
        <v>1</v>
      </c>
      <c r="G34" t="s">
        <v>1</v>
      </c>
      <c r="H34" t="s">
        <v>1</v>
      </c>
      <c r="I34" t="s">
        <v>1</v>
      </c>
      <c r="J34" t="s">
        <v>1</v>
      </c>
      <c r="K34" t="s">
        <v>1</v>
      </c>
    </row>
    <row r="35" spans="1:11" x14ac:dyDescent="0.3">
      <c r="B35" t="str">
        <f t="shared" si="0"/>
        <v>". . . . . . . ."</v>
      </c>
      <c r="C35" t="s">
        <v>30</v>
      </c>
      <c r="D35" t="s">
        <v>1</v>
      </c>
      <c r="E35" t="s">
        <v>1</v>
      </c>
      <c r="F35" t="s">
        <v>1</v>
      </c>
      <c r="G35" t="s">
        <v>1</v>
      </c>
      <c r="H35" t="s">
        <v>1</v>
      </c>
      <c r="I35" t="s">
        <v>1</v>
      </c>
      <c r="J35" t="s">
        <v>1</v>
      </c>
      <c r="K35" t="s">
        <v>1</v>
      </c>
    </row>
    <row r="36" spans="1:11" x14ac:dyDescent="0.3">
      <c r="A36">
        <v>24</v>
      </c>
      <c r="B36" t="str">
        <f t="shared" si="0"/>
        <v>". . . . . . . ."</v>
      </c>
      <c r="C36" t="s">
        <v>30</v>
      </c>
      <c r="D36" t="s">
        <v>1</v>
      </c>
      <c r="E36" t="s">
        <v>1</v>
      </c>
      <c r="F36" t="s">
        <v>1</v>
      </c>
      <c r="G36" t="s">
        <v>1</v>
      </c>
      <c r="H36" t="s">
        <v>1</v>
      </c>
      <c r="I36" t="s">
        <v>1</v>
      </c>
      <c r="J36" t="s">
        <v>1</v>
      </c>
      <c r="K36" t="s">
        <v>1</v>
      </c>
    </row>
    <row r="37" spans="1:11" x14ac:dyDescent="0.3">
      <c r="B37" t="str">
        <f t="shared" si="0"/>
        <v>". . . . . . . ."</v>
      </c>
      <c r="C37" t="s">
        <v>30</v>
      </c>
      <c r="D37" t="s">
        <v>1</v>
      </c>
      <c r="E37" t="s">
        <v>1</v>
      </c>
      <c r="F37" t="s">
        <v>1</v>
      </c>
      <c r="G37" t="s">
        <v>1</v>
      </c>
      <c r="H37" t="s">
        <v>1</v>
      </c>
      <c r="I37" t="s">
        <v>1</v>
      </c>
      <c r="J37" t="s">
        <v>1</v>
      </c>
      <c r="K37" t="s">
        <v>1</v>
      </c>
    </row>
    <row r="38" spans="1:11" x14ac:dyDescent="0.3">
      <c r="A38">
        <v>25</v>
      </c>
      <c r="B38" t="str">
        <f t="shared" si="0"/>
        <v>". . . . . . . ."</v>
      </c>
      <c r="C38" t="s">
        <v>30</v>
      </c>
      <c r="D38" t="s">
        <v>1</v>
      </c>
      <c r="E38" t="s">
        <v>1</v>
      </c>
      <c r="F38" t="s">
        <v>1</v>
      </c>
      <c r="G38" t="s">
        <v>1</v>
      </c>
      <c r="H38" t="s">
        <v>1</v>
      </c>
      <c r="I38" t="s">
        <v>1</v>
      </c>
      <c r="J38" t="s">
        <v>1</v>
      </c>
      <c r="K38" t="s">
        <v>1</v>
      </c>
    </row>
    <row r="39" spans="1:11" x14ac:dyDescent="0.3">
      <c r="B39" t="str">
        <f t="shared" si="0"/>
        <v>". . . . . . . ."</v>
      </c>
      <c r="C39" t="s">
        <v>30</v>
      </c>
      <c r="D39" t="s">
        <v>1</v>
      </c>
      <c r="E39" t="s">
        <v>1</v>
      </c>
      <c r="F39" t="s">
        <v>1</v>
      </c>
      <c r="G39" t="s">
        <v>1</v>
      </c>
      <c r="H39" t="s">
        <v>1</v>
      </c>
      <c r="I39" t="s">
        <v>1</v>
      </c>
      <c r="J39" t="s">
        <v>1</v>
      </c>
      <c r="K39" t="s">
        <v>1</v>
      </c>
    </row>
    <row r="40" spans="1:11" x14ac:dyDescent="0.3">
      <c r="A40">
        <v>26</v>
      </c>
      <c r="B40" t="str">
        <f t="shared" si="0"/>
        <v>". gad-14-1 j-gad-14-1 gad-14-2a j-gad-14-2a j-gad-14-2a j-gad-14-2a gad-14-2b"</v>
      </c>
      <c r="C40" t="s">
        <v>30</v>
      </c>
      <c r="D40" t="s">
        <v>1</v>
      </c>
      <c r="E40" t="s">
        <v>157</v>
      </c>
      <c r="F40" t="s">
        <v>156</v>
      </c>
      <c r="G40" t="s">
        <v>155</v>
      </c>
      <c r="H40" t="s">
        <v>154</v>
      </c>
      <c r="I40" t="s">
        <v>154</v>
      </c>
      <c r="J40" t="s">
        <v>154</v>
      </c>
      <c r="K40" t="s">
        <v>153</v>
      </c>
    </row>
    <row r="42" spans="1:11" x14ac:dyDescent="0.3">
      <c r="A42">
        <v>27</v>
      </c>
    </row>
    <row r="44" spans="1:11" x14ac:dyDescent="0.3">
      <c r="A44">
        <v>28</v>
      </c>
    </row>
    <row r="46" spans="1:11" x14ac:dyDescent="0.3">
      <c r="A46">
        <v>29</v>
      </c>
    </row>
    <row r="48" spans="1:11" x14ac:dyDescent="0.3">
      <c r="A48">
        <v>30</v>
      </c>
    </row>
    <row r="50" spans="1:1" x14ac:dyDescent="0.3">
      <c r="A50">
        <v>31</v>
      </c>
    </row>
    <row r="52" spans="1:1" x14ac:dyDescent="0.3">
      <c r="A52">
        <v>32</v>
      </c>
    </row>
    <row r="54" spans="1:1" x14ac:dyDescent="0.3">
      <c r="A54">
        <v>33</v>
      </c>
    </row>
    <row r="56" spans="1:1" x14ac:dyDescent="0.3">
      <c r="A56">
        <v>34</v>
      </c>
    </row>
    <row r="58" spans="1:1" x14ac:dyDescent="0.3">
      <c r="A58">
        <v>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326D1-7005-434B-A5F2-D0319DE285E8}">
  <dimension ref="A1:J58"/>
  <sheetViews>
    <sheetView topLeftCell="A28" workbookViewId="0">
      <selection activeCell="B4" sqref="B4:B58"/>
    </sheetView>
  </sheetViews>
  <sheetFormatPr defaultRowHeight="14.4" x14ac:dyDescent="0.3"/>
  <cols>
    <col min="1" max="1" width="5.44140625" customWidth="1"/>
    <col min="4" max="6" width="11.44140625" customWidth="1"/>
    <col min="7" max="7" width="11.109375" bestFit="1" customWidth="1"/>
    <col min="8" max="8" width="11.109375" customWidth="1"/>
    <col min="9" max="9" width="14.21875" bestFit="1" customWidth="1"/>
  </cols>
  <sheetData>
    <row r="1" spans="1:10" x14ac:dyDescent="0.3">
      <c r="B1" t="s">
        <v>132</v>
      </c>
      <c r="C1">
        <f>COUNTA(D8:ZN8)</f>
        <v>7</v>
      </c>
    </row>
    <row r="2" spans="1:10" x14ac:dyDescent="0.3">
      <c r="B2" t="s">
        <v>131</v>
      </c>
      <c r="C2">
        <f>COUNTA(B8:B138)</f>
        <v>51</v>
      </c>
    </row>
    <row r="3" spans="1:10" x14ac:dyDescent="0.3">
      <c r="C3" t="s">
        <v>30</v>
      </c>
    </row>
    <row r="4" spans="1:10" x14ac:dyDescent="0.3">
      <c r="A4">
        <v>8</v>
      </c>
      <c r="B4" t="str">
        <f t="shared" ref="B4:B58" si="0">_xlfn.CONCAT(CHAR(34), _xlfn.TEXTJOIN(" ",TRUE,D4:ZN4),CHAR(34))</f>
        <v>"rev-12-5a j-rev-12-5a j-rev-12-5a j-rev-12-5a j-rev-12-5a rev-12-5b j-rev-12-5b"</v>
      </c>
      <c r="C4" t="s">
        <v>30</v>
      </c>
      <c r="D4" t="s">
        <v>244</v>
      </c>
      <c r="E4" t="s">
        <v>243</v>
      </c>
      <c r="F4" t="s">
        <v>243</v>
      </c>
      <c r="G4" t="s">
        <v>243</v>
      </c>
      <c r="H4" t="s">
        <v>243</v>
      </c>
      <c r="I4" t="s">
        <v>242</v>
      </c>
      <c r="J4" t="s">
        <v>241</v>
      </c>
    </row>
    <row r="5" spans="1:10" x14ac:dyDescent="0.3">
      <c r="B5" t="str">
        <f t="shared" si="0"/>
        <v>". . . . . . ."</v>
      </c>
      <c r="C5" t="s">
        <v>30</v>
      </c>
      <c r="D5" t="s">
        <v>1</v>
      </c>
      <c r="E5" t="s">
        <v>1</v>
      </c>
      <c r="F5" t="s">
        <v>1</v>
      </c>
      <c r="G5" t="s">
        <v>1</v>
      </c>
      <c r="H5" t="s">
        <v>1</v>
      </c>
      <c r="I5" t="s">
        <v>1</v>
      </c>
      <c r="J5" t="s">
        <v>1</v>
      </c>
    </row>
    <row r="6" spans="1:10" x14ac:dyDescent="0.3">
      <c r="A6">
        <v>9</v>
      </c>
      <c r="B6" t="str">
        <f t="shared" si="0"/>
        <v>"j-song-2-13a j-song-2-13a j-song-2-13a song-2-13b j-song-2-13b song-2-13c j-song-2-13-e"</v>
      </c>
      <c r="C6" t="s">
        <v>30</v>
      </c>
      <c r="D6" t="s">
        <v>159</v>
      </c>
      <c r="E6" t="s">
        <v>159</v>
      </c>
      <c r="F6" t="s">
        <v>159</v>
      </c>
      <c r="G6" t="s">
        <v>217</v>
      </c>
      <c r="H6" t="s">
        <v>470</v>
      </c>
      <c r="I6" t="s">
        <v>216</v>
      </c>
      <c r="J6" t="s">
        <v>215</v>
      </c>
    </row>
    <row r="7" spans="1:10" x14ac:dyDescent="0.3">
      <c r="B7" t="str">
        <f t="shared" si="0"/>
        <v>". . . . . . ."</v>
      </c>
      <c r="C7" t="s">
        <v>30</v>
      </c>
      <c r="D7" t="s">
        <v>1</v>
      </c>
      <c r="E7" t="s">
        <v>1</v>
      </c>
      <c r="F7" t="s">
        <v>1</v>
      </c>
      <c r="G7" t="s">
        <v>1</v>
      </c>
      <c r="H7" t="s">
        <v>1</v>
      </c>
      <c r="I7" t="s">
        <v>1</v>
      </c>
      <c r="J7" t="s">
        <v>1</v>
      </c>
    </row>
    <row r="8" spans="1:10" x14ac:dyDescent="0.3">
      <c r="A8">
        <v>10</v>
      </c>
      <c r="B8" t="str">
        <f t="shared" si="0"/>
        <v>"rev-6-17 . . . rev-7-1 j-rev-7-1 j-rev-7-1"</v>
      </c>
      <c r="C8" t="s">
        <v>30</v>
      </c>
      <c r="D8" t="s">
        <v>240</v>
      </c>
      <c r="E8" t="s">
        <v>1</v>
      </c>
      <c r="F8" t="s">
        <v>1</v>
      </c>
      <c r="G8" t="s">
        <v>1</v>
      </c>
      <c r="H8" t="s">
        <v>239</v>
      </c>
      <c r="I8" t="s">
        <v>471</v>
      </c>
      <c r="J8" t="s">
        <v>471</v>
      </c>
    </row>
    <row r="9" spans="1:10" x14ac:dyDescent="0.3">
      <c r="B9" t="str">
        <f t="shared" si="0"/>
        <v>". . . . . . ."</v>
      </c>
      <c r="C9" t="s">
        <v>30</v>
      </c>
      <c r="D9" t="s">
        <v>1</v>
      </c>
      <c r="E9" t="s">
        <v>1</v>
      </c>
      <c r="F9" t="s">
        <v>1</v>
      </c>
      <c r="G9" t="s">
        <v>1</v>
      </c>
      <c r="H9" t="s">
        <v>1</v>
      </c>
      <c r="I9" t="s">
        <v>1</v>
      </c>
      <c r="J9" t="s">
        <v>1</v>
      </c>
    </row>
    <row r="10" spans="1:10" x14ac:dyDescent="0.3">
      <c r="A10">
        <v>11</v>
      </c>
      <c r="B10" t="str">
        <f t="shared" si="0"/>
        <v>"mat-24-30b j-mat-24-30b j-mat-24-30b mat-24-31a mat-24-31b j-mat-24-31b-e ."</v>
      </c>
      <c r="C10" t="s">
        <v>30</v>
      </c>
      <c r="D10" t="s">
        <v>238</v>
      </c>
      <c r="E10" t="s">
        <v>237</v>
      </c>
      <c r="F10" t="s">
        <v>237</v>
      </c>
      <c r="G10" t="s">
        <v>236</v>
      </c>
      <c r="H10" t="s">
        <v>235</v>
      </c>
      <c r="I10" t="s">
        <v>234</v>
      </c>
      <c r="J10" t="s">
        <v>1</v>
      </c>
    </row>
    <row r="11" spans="1:10" x14ac:dyDescent="0.3">
      <c r="B11" t="str">
        <f t="shared" si="0"/>
        <v>". . . . . . ."</v>
      </c>
      <c r="C11" t="s">
        <v>30</v>
      </c>
      <c r="D11" t="s">
        <v>1</v>
      </c>
      <c r="E11" t="s">
        <v>1</v>
      </c>
      <c r="F11" t="s">
        <v>1</v>
      </c>
      <c r="G11" t="s">
        <v>1</v>
      </c>
      <c r="H11" t="s">
        <v>1</v>
      </c>
      <c r="I11" t="s">
        <v>1</v>
      </c>
      <c r="J11" t="s">
        <v>1</v>
      </c>
    </row>
    <row r="12" spans="1:10" x14ac:dyDescent="0.3">
      <c r="A12">
        <v>12</v>
      </c>
      <c r="B12" t="str">
        <f t="shared" si="0"/>
        <v>"mark-13-26 j-mark-13-26 j-mark-13-26 mark-13-27a mark-13-27b j-mark-13-27b-e ."</v>
      </c>
      <c r="C12" t="s">
        <v>30</v>
      </c>
      <c r="D12" t="s">
        <v>233</v>
      </c>
      <c r="E12" t="s">
        <v>232</v>
      </c>
      <c r="F12" t="s">
        <v>232</v>
      </c>
      <c r="G12" t="s">
        <v>231</v>
      </c>
      <c r="H12" t="s">
        <v>230</v>
      </c>
      <c r="I12" t="s">
        <v>229</v>
      </c>
      <c r="J12" t="s">
        <v>1</v>
      </c>
    </row>
    <row r="13" spans="1:10" x14ac:dyDescent="0.3">
      <c r="B13" t="str">
        <f t="shared" si="0"/>
        <v>". . . . . . ."</v>
      </c>
      <c r="C13" t="s">
        <v>30</v>
      </c>
      <c r="D13" t="s">
        <v>1</v>
      </c>
      <c r="E13" t="s">
        <v>1</v>
      </c>
      <c r="F13" t="s">
        <v>1</v>
      </c>
      <c r="G13" t="s">
        <v>1</v>
      </c>
      <c r="H13" t="s">
        <v>1</v>
      </c>
      <c r="I13" t="s">
        <v>1</v>
      </c>
      <c r="J13" t="s">
        <v>1</v>
      </c>
    </row>
    <row r="14" spans="1:10" x14ac:dyDescent="0.3">
      <c r="A14">
        <v>13</v>
      </c>
      <c r="B14" t="str">
        <f t="shared" si="0"/>
        <v>"luke-21-27 j-luke-21-27-e . . . . ."</v>
      </c>
      <c r="C14" t="s">
        <v>30</v>
      </c>
      <c r="D14" t="s">
        <v>228</v>
      </c>
      <c r="E14" t="s">
        <v>227</v>
      </c>
      <c r="F14" t="s">
        <v>1</v>
      </c>
      <c r="G14" t="s">
        <v>1</v>
      </c>
      <c r="H14" t="s">
        <v>1</v>
      </c>
      <c r="I14" t="s">
        <v>1</v>
      </c>
      <c r="J14" t="s">
        <v>1</v>
      </c>
    </row>
    <row r="15" spans="1:10" x14ac:dyDescent="0.3">
      <c r="B15" t="str">
        <f t="shared" si="0"/>
        <v>". . . . . . ."</v>
      </c>
      <c r="C15" t="s">
        <v>30</v>
      </c>
      <c r="D15" t="s">
        <v>1</v>
      </c>
      <c r="E15" t="s">
        <v>1</v>
      </c>
      <c r="F15" t="s">
        <v>1</v>
      </c>
      <c r="G15" t="s">
        <v>1</v>
      </c>
      <c r="H15" t="s">
        <v>1</v>
      </c>
      <c r="I15" t="s">
        <v>1</v>
      </c>
      <c r="J15" t="s">
        <v>1</v>
      </c>
    </row>
    <row r="16" spans="1:10" x14ac:dyDescent="0.3">
      <c r="A16">
        <v>14</v>
      </c>
      <c r="B16" t="str">
        <f t="shared" si="0"/>
        <v>"j-dan-12-1ca j-dan-12-1ca dan-12-1c dan-12-2 j-dan-12-2 dan-12-3 j-dan-12-3"</v>
      </c>
      <c r="C16" t="s">
        <v>30</v>
      </c>
      <c r="D16" t="s">
        <v>393</v>
      </c>
      <c r="E16" t="s">
        <v>393</v>
      </c>
      <c r="F16" t="s">
        <v>394</v>
      </c>
      <c r="G16" t="s">
        <v>395</v>
      </c>
      <c r="H16" t="s">
        <v>396</v>
      </c>
      <c r="I16" t="s">
        <v>391</v>
      </c>
      <c r="J16" t="s">
        <v>392</v>
      </c>
    </row>
    <row r="17" spans="1:10" x14ac:dyDescent="0.3">
      <c r="B17" t="str">
        <f t="shared" si="0"/>
        <v>". . . . . . ."</v>
      </c>
      <c r="C17" t="s">
        <v>30</v>
      </c>
      <c r="D17" t="s">
        <v>1</v>
      </c>
      <c r="E17" t="s">
        <v>1</v>
      </c>
      <c r="F17" t="s">
        <v>1</v>
      </c>
      <c r="G17" t="s">
        <v>1</v>
      </c>
      <c r="H17" t="s">
        <v>1</v>
      </c>
      <c r="I17" t="s">
        <v>1</v>
      </c>
      <c r="J17" t="s">
        <v>1</v>
      </c>
    </row>
    <row r="18" spans="1:10" x14ac:dyDescent="0.3">
      <c r="A18">
        <v>15</v>
      </c>
      <c r="B18" t="str">
        <f t="shared" si="0"/>
        <v>". . rev-11-1 j-rev-11-1 j-rev-11-1 j-rev-11-1 j-rev-11-1"</v>
      </c>
      <c r="C18" t="s">
        <v>30</v>
      </c>
      <c r="D18" t="s">
        <v>1</v>
      </c>
      <c r="E18" t="s">
        <v>1</v>
      </c>
      <c r="F18" t="s">
        <v>226</v>
      </c>
      <c r="G18" t="s">
        <v>225</v>
      </c>
      <c r="H18" t="s">
        <v>225</v>
      </c>
      <c r="I18" t="s">
        <v>225</v>
      </c>
      <c r="J18" t="s">
        <v>225</v>
      </c>
    </row>
    <row r="19" spans="1:10" x14ac:dyDescent="0.3">
      <c r="B19" t="str">
        <f t="shared" si="0"/>
        <v>". . . . . . ."</v>
      </c>
      <c r="C19" t="s">
        <v>30</v>
      </c>
      <c r="D19" t="s">
        <v>1</v>
      </c>
      <c r="E19" t="s">
        <v>1</v>
      </c>
      <c r="F19" t="s">
        <v>1</v>
      </c>
      <c r="G19" t="s">
        <v>1</v>
      </c>
      <c r="H19" t="s">
        <v>1</v>
      </c>
      <c r="I19" t="s">
        <v>1</v>
      </c>
      <c r="J19" t="s">
        <v>1</v>
      </c>
    </row>
    <row r="20" spans="1:10" x14ac:dyDescent="0.3">
      <c r="A20">
        <v>16</v>
      </c>
      <c r="B20" t="str">
        <f t="shared" si="0"/>
        <v>". . . . . . ."</v>
      </c>
      <c r="C20" t="s">
        <v>30</v>
      </c>
      <c r="D20" t="s">
        <v>1</v>
      </c>
      <c r="E20" t="s">
        <v>1</v>
      </c>
      <c r="F20" t="s">
        <v>1</v>
      </c>
      <c r="G20" t="s">
        <v>1</v>
      </c>
      <c r="H20" t="s">
        <v>1</v>
      </c>
      <c r="I20" t="s">
        <v>1</v>
      </c>
      <c r="J20" t="s">
        <v>1</v>
      </c>
    </row>
    <row r="21" spans="1:10" x14ac:dyDescent="0.3">
      <c r="B21" t="str">
        <f t="shared" si="0"/>
        <v>". . . . . . ."</v>
      </c>
      <c r="C21" t="s">
        <v>30</v>
      </c>
      <c r="D21" t="s">
        <v>1</v>
      </c>
      <c r="E21" t="s">
        <v>1</v>
      </c>
      <c r="F21" t="s">
        <v>1</v>
      </c>
      <c r="G21" t="s">
        <v>1</v>
      </c>
      <c r="H21" t="s">
        <v>1</v>
      </c>
      <c r="I21" t="s">
        <v>1</v>
      </c>
      <c r="J21" t="s">
        <v>1</v>
      </c>
    </row>
    <row r="22" spans="1:10" x14ac:dyDescent="0.3">
      <c r="A22">
        <v>17</v>
      </c>
      <c r="B22" t="str">
        <f t="shared" si="0"/>
        <v>"j-rev-4-2b rev-4-3 j-rev-4-3 j-rev-4-3 j-rev-4-3 j-rev-4-3 j-rev-4-3"</v>
      </c>
      <c r="C22" t="s">
        <v>30</v>
      </c>
      <c r="D22" t="s">
        <v>224</v>
      </c>
      <c r="E22" t="s">
        <v>223</v>
      </c>
      <c r="F22" t="s">
        <v>222</v>
      </c>
      <c r="G22" t="s">
        <v>222</v>
      </c>
      <c r="H22" t="s">
        <v>222</v>
      </c>
      <c r="I22" t="s">
        <v>222</v>
      </c>
      <c r="J22" t="s">
        <v>222</v>
      </c>
    </row>
    <row r="23" spans="1:10" x14ac:dyDescent="0.3">
      <c r="B23" t="str">
        <f t="shared" si="0"/>
        <v>". . . . . . ."</v>
      </c>
      <c r="C23" t="s">
        <v>30</v>
      </c>
      <c r="D23" t="s">
        <v>1</v>
      </c>
      <c r="E23" t="s">
        <v>1</v>
      </c>
      <c r="F23" t="s">
        <v>1</v>
      </c>
      <c r="G23" t="s">
        <v>1</v>
      </c>
      <c r="H23" t="s">
        <v>1</v>
      </c>
      <c r="I23" t="s">
        <v>1</v>
      </c>
      <c r="J23" t="s">
        <v>1</v>
      </c>
    </row>
    <row r="24" spans="1:10" x14ac:dyDescent="0.3">
      <c r="A24">
        <v>18</v>
      </c>
      <c r="B24" t="str">
        <f t="shared" si="0"/>
        <v>". . . . . . ."</v>
      </c>
      <c r="C24" t="s">
        <v>30</v>
      </c>
      <c r="D24" t="s">
        <v>1</v>
      </c>
      <c r="E24" t="s">
        <v>1</v>
      </c>
      <c r="F24" t="s">
        <v>1</v>
      </c>
      <c r="G24" t="s">
        <v>1</v>
      </c>
      <c r="H24" t="s">
        <v>1</v>
      </c>
      <c r="I24" t="s">
        <v>1</v>
      </c>
      <c r="J24" t="s">
        <v>1</v>
      </c>
    </row>
    <row r="25" spans="1:10" x14ac:dyDescent="0.3">
      <c r="B25" t="str">
        <f t="shared" si="0"/>
        <v>". . . . . . ."</v>
      </c>
      <c r="C25" t="s">
        <v>30</v>
      </c>
      <c r="D25" t="s">
        <v>1</v>
      </c>
      <c r="E25" t="s">
        <v>1</v>
      </c>
      <c r="F25" t="s">
        <v>1</v>
      </c>
      <c r="G25" t="s">
        <v>1</v>
      </c>
      <c r="H25" t="s">
        <v>1</v>
      </c>
      <c r="I25" t="s">
        <v>1</v>
      </c>
      <c r="J25" t="s">
        <v>1</v>
      </c>
    </row>
    <row r="26" spans="1:10" x14ac:dyDescent="0.3">
      <c r="A26">
        <v>19</v>
      </c>
      <c r="B26" t="str">
        <f t="shared" si="0"/>
        <v>"ba2-30-1 j-ba2-30-1 j-ba2-30-1 ba2-30-2a j-ba2-30-2a j-ba2-30-2a j-ba2-30-2a"</v>
      </c>
      <c r="C26" t="s">
        <v>30</v>
      </c>
      <c r="D26" t="s">
        <v>221</v>
      </c>
      <c r="E26" t="s">
        <v>220</v>
      </c>
      <c r="F26" t="s">
        <v>220</v>
      </c>
      <c r="G26" t="s">
        <v>219</v>
      </c>
      <c r="H26" t="s">
        <v>218</v>
      </c>
      <c r="I26" t="s">
        <v>218</v>
      </c>
      <c r="J26" t="s">
        <v>218</v>
      </c>
    </row>
    <row r="27" spans="1:10" x14ac:dyDescent="0.3">
      <c r="B27" t="str">
        <f t="shared" si="0"/>
        <v>". . . . . . ."</v>
      </c>
      <c r="C27" t="s">
        <v>30</v>
      </c>
      <c r="D27" t="s">
        <v>1</v>
      </c>
      <c r="E27" t="s">
        <v>1</v>
      </c>
      <c r="F27" t="s">
        <v>1</v>
      </c>
      <c r="G27" t="s">
        <v>1</v>
      </c>
      <c r="H27" t="s">
        <v>1</v>
      </c>
      <c r="I27" t="s">
        <v>1</v>
      </c>
      <c r="J27" t="s">
        <v>1</v>
      </c>
    </row>
    <row r="28" spans="1:10" x14ac:dyDescent="0.3">
      <c r="A28">
        <v>20</v>
      </c>
      <c r="B28" t="str">
        <f t="shared" si="0"/>
        <v>". . . . . . ."</v>
      </c>
      <c r="C28" t="s">
        <v>30</v>
      </c>
      <c r="D28" t="s">
        <v>1</v>
      </c>
      <c r="E28" t="s">
        <v>1</v>
      </c>
      <c r="F28" t="s">
        <v>1</v>
      </c>
      <c r="G28" t="s">
        <v>1</v>
      </c>
      <c r="H28" t="s">
        <v>1</v>
      </c>
      <c r="I28" t="s">
        <v>1</v>
      </c>
      <c r="J28" t="s">
        <v>1</v>
      </c>
    </row>
    <row r="29" spans="1:10" x14ac:dyDescent="0.3">
      <c r="B29" t="str">
        <f t="shared" si="0"/>
        <v>". . . . . . ."</v>
      </c>
      <c r="C29" t="s">
        <v>30</v>
      </c>
      <c r="D29" t="s">
        <v>1</v>
      </c>
      <c r="E29" t="s">
        <v>1</v>
      </c>
      <c r="F29" t="s">
        <v>1</v>
      </c>
      <c r="G29" t="s">
        <v>1</v>
      </c>
      <c r="H29" t="s">
        <v>1</v>
      </c>
      <c r="I29" t="s">
        <v>1</v>
      </c>
      <c r="J29" t="s">
        <v>1</v>
      </c>
    </row>
    <row r="30" spans="1:10" x14ac:dyDescent="0.3">
      <c r="A30">
        <v>21</v>
      </c>
      <c r="B30" t="str">
        <f t="shared" si="0"/>
        <v>"rev-21-10b rev-21-11 rev-21-12 j-rev-21-17-e . . ."</v>
      </c>
      <c r="C30" t="s">
        <v>30</v>
      </c>
      <c r="D30" t="s">
        <v>466</v>
      </c>
      <c r="E30" t="s">
        <v>467</v>
      </c>
      <c r="F30" t="s">
        <v>468</v>
      </c>
      <c r="G30" t="s">
        <v>469</v>
      </c>
      <c r="H30" t="s">
        <v>1</v>
      </c>
      <c r="I30" t="s">
        <v>1</v>
      </c>
      <c r="J30" t="s">
        <v>1</v>
      </c>
    </row>
    <row r="31" spans="1:10" x14ac:dyDescent="0.3">
      <c r="B31" t="str">
        <f t="shared" si="0"/>
        <v>". . . . . . ."</v>
      </c>
      <c r="C31" t="s">
        <v>30</v>
      </c>
      <c r="D31" t="s">
        <v>1</v>
      </c>
      <c r="E31" t="s">
        <v>1</v>
      </c>
      <c r="F31" t="s">
        <v>1</v>
      </c>
      <c r="G31" t="s">
        <v>1</v>
      </c>
      <c r="H31" t="s">
        <v>1</v>
      </c>
      <c r="I31" t="s">
        <v>1</v>
      </c>
      <c r="J31" t="s">
        <v>1</v>
      </c>
    </row>
    <row r="32" spans="1:10" x14ac:dyDescent="0.3">
      <c r="A32">
        <v>22</v>
      </c>
      <c r="B32" t="str">
        <f t="shared" si="0"/>
        <v>"j-es2-15-9 j-es2-15-9 j-es2-15-9 j-es2-15-9 j-es2-15-9 es2-15-10 j-es2-15-11a"</v>
      </c>
      <c r="C32" t="s">
        <v>30</v>
      </c>
      <c r="D32" t="s">
        <v>214</v>
      </c>
      <c r="E32" t="s">
        <v>214</v>
      </c>
      <c r="F32" t="s">
        <v>214</v>
      </c>
      <c r="G32" t="s">
        <v>214</v>
      </c>
      <c r="H32" t="s">
        <v>214</v>
      </c>
      <c r="I32" t="s">
        <v>213</v>
      </c>
      <c r="J32" t="s">
        <v>212</v>
      </c>
    </row>
    <row r="33" spans="1:10" x14ac:dyDescent="0.3">
      <c r="B33" t="str">
        <f t="shared" si="0"/>
        <v>". . . . . . ."</v>
      </c>
      <c r="C33" t="s">
        <v>30</v>
      </c>
      <c r="D33" t="s">
        <v>1</v>
      </c>
      <c r="E33" t="s">
        <v>1</v>
      </c>
      <c r="F33" t="s">
        <v>1</v>
      </c>
      <c r="G33" t="s">
        <v>1</v>
      </c>
      <c r="H33" t="s">
        <v>1</v>
      </c>
      <c r="I33" t="s">
        <v>1</v>
      </c>
      <c r="J33" t="s">
        <v>1</v>
      </c>
    </row>
    <row r="34" spans="1:10" x14ac:dyDescent="0.3">
      <c r="A34">
        <v>23</v>
      </c>
      <c r="B34" t="str">
        <f t="shared" si="0"/>
        <v>". . . . . es2-5-1 j-es2-5-1"</v>
      </c>
      <c r="C34" t="s">
        <v>30</v>
      </c>
      <c r="D34" t="s">
        <v>1</v>
      </c>
      <c r="E34" t="s">
        <v>1</v>
      </c>
      <c r="F34" t="s">
        <v>1</v>
      </c>
      <c r="G34" t="s">
        <v>1</v>
      </c>
      <c r="H34" t="s">
        <v>1</v>
      </c>
      <c r="I34" t="s">
        <v>211</v>
      </c>
      <c r="J34" t="s">
        <v>472</v>
      </c>
    </row>
    <row r="35" spans="1:10" x14ac:dyDescent="0.3">
      <c r="B35" t="str">
        <f t="shared" si="0"/>
        <v>". . . . . . ."</v>
      </c>
      <c r="C35" t="s">
        <v>30</v>
      </c>
      <c r="D35" t="s">
        <v>1</v>
      </c>
      <c r="E35" t="s">
        <v>1</v>
      </c>
      <c r="F35" t="s">
        <v>1</v>
      </c>
      <c r="G35" t="s">
        <v>1</v>
      </c>
      <c r="H35" t="s">
        <v>1</v>
      </c>
      <c r="I35" t="s">
        <v>1</v>
      </c>
      <c r="J35" t="s">
        <v>1</v>
      </c>
    </row>
    <row r="36" spans="1:10" x14ac:dyDescent="0.3">
      <c r="A36">
        <v>24</v>
      </c>
      <c r="B36" t="str">
        <f t="shared" si="0"/>
        <v>"es2-2-34 j-es2-2-35 j-es2-2-35 es2-2-36 j-es2-2-36 es2-2-37 j-es2-2-37"</v>
      </c>
      <c r="C36" t="s">
        <v>30</v>
      </c>
      <c r="D36" t="s">
        <v>209</v>
      </c>
      <c r="E36" t="s">
        <v>208</v>
      </c>
      <c r="F36" t="s">
        <v>208</v>
      </c>
      <c r="G36" t="s">
        <v>207</v>
      </c>
      <c r="H36" t="s">
        <v>474</v>
      </c>
      <c r="I36" t="s">
        <v>206</v>
      </c>
      <c r="J36" t="s">
        <v>205</v>
      </c>
    </row>
    <row r="37" spans="1:10" x14ac:dyDescent="0.3">
      <c r="B37" t="str">
        <f t="shared" si="0"/>
        <v>". . . . . . ."</v>
      </c>
      <c r="C37" t="s">
        <v>30</v>
      </c>
      <c r="D37" t="s">
        <v>1</v>
      </c>
      <c r="E37" t="s">
        <v>1</v>
      </c>
      <c r="F37" t="s">
        <v>1</v>
      </c>
      <c r="G37" t="s">
        <v>1</v>
      </c>
      <c r="H37" t="s">
        <v>1</v>
      </c>
      <c r="I37" t="s">
        <v>1</v>
      </c>
      <c r="J37" t="s">
        <v>1</v>
      </c>
    </row>
    <row r="38" spans="1:10" x14ac:dyDescent="0.3">
      <c r="A38">
        <v>25</v>
      </c>
      <c r="B38" t="str">
        <f t="shared" si="0"/>
        <v>"thess-4-16a j-1thess-4-16a j-1thess-4-16a thess-4-16b j-1thess-4-16b thess-4-17 j-thess-4-17-e"</v>
      </c>
      <c r="C38" t="s">
        <v>30</v>
      </c>
      <c r="D38" t="s">
        <v>204</v>
      </c>
      <c r="E38" t="s">
        <v>203</v>
      </c>
      <c r="F38" t="s">
        <v>203</v>
      </c>
      <c r="G38" t="s">
        <v>202</v>
      </c>
      <c r="H38" t="s">
        <v>475</v>
      </c>
      <c r="I38" t="s">
        <v>201</v>
      </c>
      <c r="J38" t="s">
        <v>200</v>
      </c>
    </row>
    <row r="39" spans="1:10" x14ac:dyDescent="0.3">
      <c r="B39" t="str">
        <f t="shared" si="0"/>
        <v>". . . . . . ."</v>
      </c>
      <c r="C39" t="s">
        <v>30</v>
      </c>
      <c r="D39" t="s">
        <v>1</v>
      </c>
      <c r="E39" t="s">
        <v>1</v>
      </c>
      <c r="F39" t="s">
        <v>1</v>
      </c>
      <c r="G39" t="s">
        <v>1</v>
      </c>
      <c r="H39" t="s">
        <v>1</v>
      </c>
      <c r="I39" t="s">
        <v>1</v>
      </c>
      <c r="J39" t="s">
        <v>1</v>
      </c>
    </row>
    <row r="40" spans="1:10" x14ac:dyDescent="0.3">
      <c r="A40">
        <v>26</v>
      </c>
      <c r="B40" t="str">
        <f t="shared" si="0"/>
        <v>"j-gad-14-5 gad-14-5 gad-14-6 j-gad-14-9a j-gad-14-9a gad-14-9b j-gad-14-9b-e"</v>
      </c>
      <c r="C40" t="s">
        <v>30</v>
      </c>
      <c r="D40" t="s">
        <v>199</v>
      </c>
      <c r="E40" t="s">
        <v>198</v>
      </c>
      <c r="F40" t="s">
        <v>197</v>
      </c>
      <c r="G40" t="s">
        <v>196</v>
      </c>
      <c r="H40" t="s">
        <v>196</v>
      </c>
      <c r="I40" t="s">
        <v>195</v>
      </c>
      <c r="J40" t="s">
        <v>194</v>
      </c>
    </row>
    <row r="41" spans="1:10" x14ac:dyDescent="0.3">
      <c r="B41" t="str">
        <f t="shared" si="0"/>
        <v>". . . . . . ."</v>
      </c>
      <c r="C41" t="s">
        <v>30</v>
      </c>
      <c r="D41" t="s">
        <v>1</v>
      </c>
      <c r="E41" t="s">
        <v>1</v>
      </c>
      <c r="F41" t="s">
        <v>1</v>
      </c>
      <c r="G41" t="s">
        <v>1</v>
      </c>
      <c r="H41" t="s">
        <v>1</v>
      </c>
      <c r="I41" t="s">
        <v>1</v>
      </c>
      <c r="J41" t="s">
        <v>1</v>
      </c>
    </row>
    <row r="42" spans="1:10" x14ac:dyDescent="0.3">
      <c r="A42">
        <v>27</v>
      </c>
      <c r="B42" t="str">
        <f t="shared" si="0"/>
        <v>". . . . . . ."</v>
      </c>
      <c r="C42" t="s">
        <v>30</v>
      </c>
      <c r="D42" t="s">
        <v>1</v>
      </c>
      <c r="E42" t="s">
        <v>1</v>
      </c>
      <c r="F42" t="s">
        <v>1</v>
      </c>
      <c r="G42" t="s">
        <v>1</v>
      </c>
      <c r="H42" t="s">
        <v>1</v>
      </c>
      <c r="I42" t="s">
        <v>1</v>
      </c>
      <c r="J42" t="s">
        <v>1</v>
      </c>
    </row>
    <row r="43" spans="1:10" x14ac:dyDescent="0.3">
      <c r="B43" t="str">
        <f t="shared" si="0"/>
        <v>". . . . . . ."</v>
      </c>
      <c r="C43" t="s">
        <v>30</v>
      </c>
      <c r="D43" t="s">
        <v>1</v>
      </c>
      <c r="E43" t="s">
        <v>1</v>
      </c>
      <c r="F43" t="s">
        <v>1</v>
      </c>
      <c r="G43" t="s">
        <v>1</v>
      </c>
      <c r="H43" t="s">
        <v>1</v>
      </c>
      <c r="I43" t="s">
        <v>1</v>
      </c>
      <c r="J43" t="s">
        <v>1</v>
      </c>
    </row>
    <row r="44" spans="1:10" x14ac:dyDescent="0.3">
      <c r="A44">
        <v>28</v>
      </c>
      <c r="B44" t="str">
        <f t="shared" si="0"/>
        <v>". . . . . . ."</v>
      </c>
      <c r="C44" t="s">
        <v>30</v>
      </c>
      <c r="D44" t="s">
        <v>1</v>
      </c>
      <c r="E44" t="s">
        <v>1</v>
      </c>
      <c r="F44" t="s">
        <v>1</v>
      </c>
      <c r="G44" t="s">
        <v>1</v>
      </c>
      <c r="H44" t="s">
        <v>1</v>
      </c>
      <c r="I44" t="s">
        <v>1</v>
      </c>
      <c r="J44" t="s">
        <v>1</v>
      </c>
    </row>
    <row r="45" spans="1:10" x14ac:dyDescent="0.3">
      <c r="B45" t="str">
        <f t="shared" si="0"/>
        <v>". . . . . . ."</v>
      </c>
      <c r="C45" t="s">
        <v>30</v>
      </c>
      <c r="D45" t="s">
        <v>1</v>
      </c>
      <c r="E45" t="s">
        <v>1</v>
      </c>
      <c r="F45" t="s">
        <v>1</v>
      </c>
      <c r="G45" t="s">
        <v>1</v>
      </c>
      <c r="H45" t="s">
        <v>1</v>
      </c>
      <c r="I45" t="s">
        <v>1</v>
      </c>
      <c r="J45" t="s">
        <v>1</v>
      </c>
    </row>
    <row r="46" spans="1:10" x14ac:dyDescent="0.3">
      <c r="A46">
        <v>29</v>
      </c>
      <c r="B46" t="str">
        <f t="shared" si="0"/>
        <v>". . . . . . ."</v>
      </c>
      <c r="C46" t="s">
        <v>30</v>
      </c>
      <c r="D46" t="s">
        <v>1</v>
      </c>
      <c r="E46" t="s">
        <v>1</v>
      </c>
      <c r="F46" t="s">
        <v>1</v>
      </c>
      <c r="G46" t="s">
        <v>1</v>
      </c>
      <c r="H46" t="s">
        <v>1</v>
      </c>
      <c r="I46" t="s">
        <v>1</v>
      </c>
      <c r="J46" t="s">
        <v>1</v>
      </c>
    </row>
    <row r="47" spans="1:10" x14ac:dyDescent="0.3">
      <c r="B47" t="str">
        <f t="shared" si="0"/>
        <v>". . . . . . ."</v>
      </c>
      <c r="C47" t="s">
        <v>30</v>
      </c>
      <c r="D47" t="s">
        <v>1</v>
      </c>
      <c r="E47" t="s">
        <v>1</v>
      </c>
      <c r="F47" t="s">
        <v>1</v>
      </c>
      <c r="G47" t="s">
        <v>1</v>
      </c>
      <c r="H47" t="s">
        <v>1</v>
      </c>
      <c r="I47" t="s">
        <v>1</v>
      </c>
      <c r="J47" t="s">
        <v>1</v>
      </c>
    </row>
    <row r="48" spans="1:10" x14ac:dyDescent="0.3">
      <c r="A48">
        <v>30</v>
      </c>
      <c r="B48" t="str">
        <f t="shared" si="0"/>
        <v>". . . . . . ."</v>
      </c>
      <c r="C48" t="s">
        <v>30</v>
      </c>
      <c r="D48" t="s">
        <v>1</v>
      </c>
      <c r="E48" t="s">
        <v>1</v>
      </c>
      <c r="F48" t="s">
        <v>1</v>
      </c>
      <c r="G48" t="s">
        <v>1</v>
      </c>
      <c r="H48" t="s">
        <v>1</v>
      </c>
      <c r="I48" t="s">
        <v>1</v>
      </c>
      <c r="J48" t="s">
        <v>1</v>
      </c>
    </row>
    <row r="49" spans="1:10" x14ac:dyDescent="0.3">
      <c r="B49" t="str">
        <f t="shared" si="0"/>
        <v>". . . . . . ."</v>
      </c>
      <c r="C49" t="s">
        <v>30</v>
      </c>
      <c r="D49" t="s">
        <v>1</v>
      </c>
      <c r="E49" t="s">
        <v>1</v>
      </c>
      <c r="F49" t="s">
        <v>1</v>
      </c>
      <c r="G49" t="s">
        <v>1</v>
      </c>
      <c r="H49" t="s">
        <v>1</v>
      </c>
      <c r="I49" t="s">
        <v>1</v>
      </c>
      <c r="J49" t="s">
        <v>1</v>
      </c>
    </row>
    <row r="50" spans="1:10" x14ac:dyDescent="0.3">
      <c r="A50">
        <v>31</v>
      </c>
      <c r="B50" t="str">
        <f t="shared" si="0"/>
        <v>". . . . . . ."</v>
      </c>
      <c r="C50" t="s">
        <v>30</v>
      </c>
      <c r="D50" t="s">
        <v>1</v>
      </c>
      <c r="E50" t="s">
        <v>1</v>
      </c>
      <c r="F50" t="s">
        <v>1</v>
      </c>
      <c r="G50" t="s">
        <v>1</v>
      </c>
      <c r="H50" t="s">
        <v>1</v>
      </c>
      <c r="I50" t="s">
        <v>1</v>
      </c>
      <c r="J50" t="s">
        <v>1</v>
      </c>
    </row>
    <row r="51" spans="1:10" x14ac:dyDescent="0.3">
      <c r="B51" t="str">
        <f t="shared" si="0"/>
        <v>". . . . . . ."</v>
      </c>
      <c r="C51" t="s">
        <v>30</v>
      </c>
      <c r="D51" t="s">
        <v>1</v>
      </c>
      <c r="E51" t="s">
        <v>1</v>
      </c>
      <c r="F51" t="s">
        <v>1</v>
      </c>
      <c r="G51" t="s">
        <v>1</v>
      </c>
      <c r="H51" t="s">
        <v>1</v>
      </c>
      <c r="I51" t="s">
        <v>1</v>
      </c>
      <c r="J51" t="s">
        <v>1</v>
      </c>
    </row>
    <row r="52" spans="1:10" x14ac:dyDescent="0.3">
      <c r="A52">
        <v>32</v>
      </c>
      <c r="B52" t="str">
        <f t="shared" si="0"/>
        <v>". . . . . . ."</v>
      </c>
      <c r="C52" t="s">
        <v>30</v>
      </c>
      <c r="D52" t="s">
        <v>1</v>
      </c>
      <c r="E52" t="s">
        <v>1</v>
      </c>
      <c r="F52" t="s">
        <v>1</v>
      </c>
      <c r="G52" t="s">
        <v>1</v>
      </c>
      <c r="H52" t="s">
        <v>1</v>
      </c>
      <c r="I52" t="s">
        <v>1</v>
      </c>
      <c r="J52" t="s">
        <v>1</v>
      </c>
    </row>
    <row r="53" spans="1:10" x14ac:dyDescent="0.3">
      <c r="B53" t="str">
        <f t="shared" si="0"/>
        <v>". . . . . . ."</v>
      </c>
      <c r="C53" t="s">
        <v>30</v>
      </c>
      <c r="D53" t="s">
        <v>1</v>
      </c>
      <c r="E53" t="s">
        <v>1</v>
      </c>
      <c r="F53" t="s">
        <v>1</v>
      </c>
      <c r="G53" t="s">
        <v>1</v>
      </c>
      <c r="H53" t="s">
        <v>1</v>
      </c>
      <c r="I53" t="s">
        <v>1</v>
      </c>
      <c r="J53" t="s">
        <v>1</v>
      </c>
    </row>
    <row r="54" spans="1:10" x14ac:dyDescent="0.3">
      <c r="A54">
        <v>33</v>
      </c>
      <c r="B54" t="str">
        <f t="shared" si="0"/>
        <v>"j-dan-8-8a-s j-dan-8-8a-s j-dan-8-8a-s dan-8-8a dan-8-8b j-dan-8-8b j-dan-8-8b"</v>
      </c>
      <c r="C54" t="s">
        <v>30</v>
      </c>
      <c r="D54" t="s">
        <v>654</v>
      </c>
      <c r="E54" t="s">
        <v>654</v>
      </c>
      <c r="F54" t="s">
        <v>654</v>
      </c>
      <c r="G54" t="s">
        <v>429</v>
      </c>
      <c r="H54" t="s">
        <v>430</v>
      </c>
      <c r="I54" t="s">
        <v>431</v>
      </c>
      <c r="J54" t="s">
        <v>431</v>
      </c>
    </row>
    <row r="55" spans="1:10" x14ac:dyDescent="0.3">
      <c r="B55" t="str">
        <f t="shared" si="0"/>
        <v>". . . . . . ."</v>
      </c>
      <c r="C55" t="s">
        <v>30</v>
      </c>
      <c r="D55" t="s">
        <v>1</v>
      </c>
      <c r="E55" t="s">
        <v>1</v>
      </c>
      <c r="F55" t="s">
        <v>1</v>
      </c>
      <c r="G55" t="s">
        <v>1</v>
      </c>
      <c r="H55" t="s">
        <v>1</v>
      </c>
      <c r="I55" t="s">
        <v>1</v>
      </c>
      <c r="J55" t="s">
        <v>1</v>
      </c>
    </row>
    <row r="56" spans="1:10" x14ac:dyDescent="0.3">
      <c r="A56">
        <v>34</v>
      </c>
      <c r="B56" t="str">
        <f t="shared" si="0"/>
        <v>"j-dan-8-22a-s j-dan-8-22a-s j-dan-8-22a-s dan-8-22a dan-8-22b j-dan-8-22b j-dan-8-22b"</v>
      </c>
      <c r="C56" t="s">
        <v>30</v>
      </c>
      <c r="D56" t="s">
        <v>655</v>
      </c>
      <c r="E56" t="s">
        <v>655</v>
      </c>
      <c r="F56" t="s">
        <v>655</v>
      </c>
      <c r="G56" t="s">
        <v>432</v>
      </c>
      <c r="H56" t="s">
        <v>433</v>
      </c>
      <c r="I56" t="s">
        <v>657</v>
      </c>
      <c r="J56" t="s">
        <v>657</v>
      </c>
    </row>
    <row r="57" spans="1:10" x14ac:dyDescent="0.3">
      <c r="B57" t="str">
        <f t="shared" si="0"/>
        <v>". . . . . . ."</v>
      </c>
      <c r="C57" t="s">
        <v>30</v>
      </c>
      <c r="D57" t="s">
        <v>1</v>
      </c>
      <c r="E57" t="s">
        <v>1</v>
      </c>
      <c r="F57" t="s">
        <v>1</v>
      </c>
      <c r="G57" t="s">
        <v>1</v>
      </c>
      <c r="H57" t="s">
        <v>1</v>
      </c>
      <c r="I57" t="s">
        <v>1</v>
      </c>
      <c r="J57" t="s">
        <v>1</v>
      </c>
    </row>
    <row r="58" spans="1:10" x14ac:dyDescent="0.3">
      <c r="A58">
        <v>35</v>
      </c>
      <c r="B58" t="str">
        <f t="shared" si="0"/>
        <v>"j-dan-11-4a-s j-dan-11-4a-s j-dan-11-4a-s dan-11-4a dan-11-4b j-dan-11-4b j-dan-11-4b"</v>
      </c>
      <c r="C58" t="s">
        <v>30</v>
      </c>
      <c r="D58" t="s">
        <v>656</v>
      </c>
      <c r="E58" t="s">
        <v>656</v>
      </c>
      <c r="F58" t="s">
        <v>656</v>
      </c>
      <c r="G58" t="s">
        <v>435</v>
      </c>
      <c r="H58" t="s">
        <v>436</v>
      </c>
      <c r="I58" t="s">
        <v>437</v>
      </c>
      <c r="J58" t="s">
        <v>437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41F23-7192-4923-9D8D-15CA02EFFBBC}">
  <dimension ref="A1:P58"/>
  <sheetViews>
    <sheetView topLeftCell="A34" workbookViewId="0">
      <selection activeCell="B4" sqref="B4:B56"/>
    </sheetView>
  </sheetViews>
  <sheetFormatPr defaultRowHeight="14.4" x14ac:dyDescent="0.3"/>
  <cols>
    <col min="1" max="1" width="5.44140625" customWidth="1"/>
    <col min="4" max="6" width="11.44140625" customWidth="1"/>
    <col min="7" max="7" width="11.109375" bestFit="1" customWidth="1"/>
    <col min="8" max="8" width="14.21875" bestFit="1" customWidth="1"/>
  </cols>
  <sheetData>
    <row r="1" spans="1:16" x14ac:dyDescent="0.3">
      <c r="B1" t="s">
        <v>132</v>
      </c>
      <c r="C1">
        <f>COUNTA(D8:ZM8)</f>
        <v>13</v>
      </c>
    </row>
    <row r="2" spans="1:16" x14ac:dyDescent="0.3">
      <c r="B2" t="s">
        <v>131</v>
      </c>
      <c r="C2">
        <f>COUNTA(B8:B138)</f>
        <v>49</v>
      </c>
    </row>
    <row r="3" spans="1:16" x14ac:dyDescent="0.3">
      <c r="C3" t="s">
        <v>30</v>
      </c>
    </row>
    <row r="4" spans="1:16" x14ac:dyDescent="0.3">
      <c r="A4">
        <v>8</v>
      </c>
      <c r="B4" t="str">
        <f t="shared" ref="B4:B39" si="0">_xlfn.CONCAT(CHAR(34), _xlfn.TEXTJOIN(" ",TRUE,D4:ZM4),CHAR(34))</f>
        <v>". . . . . . . . . . . . ."</v>
      </c>
      <c r="C4" t="s">
        <v>30</v>
      </c>
      <c r="D4" t="s">
        <v>1</v>
      </c>
      <c r="E4" t="s">
        <v>1</v>
      </c>
      <c r="F4" t="s">
        <v>1</v>
      </c>
      <c r="G4" t="s">
        <v>1</v>
      </c>
      <c r="H4" t="s">
        <v>1</v>
      </c>
      <c r="I4" t="s">
        <v>1</v>
      </c>
      <c r="J4" t="s">
        <v>1</v>
      </c>
      <c r="K4" t="s">
        <v>1</v>
      </c>
      <c r="L4" t="s">
        <v>1</v>
      </c>
      <c r="M4" t="s">
        <v>1</v>
      </c>
      <c r="N4" t="s">
        <v>1</v>
      </c>
      <c r="O4" t="s">
        <v>1</v>
      </c>
      <c r="P4" t="s">
        <v>1</v>
      </c>
    </row>
    <row r="5" spans="1:16" x14ac:dyDescent="0.3">
      <c r="B5" t="str">
        <f t="shared" si="0"/>
        <v>". . . . . . . . . . . . ."</v>
      </c>
      <c r="C5" t="s">
        <v>30</v>
      </c>
      <c r="D5" t="s">
        <v>1</v>
      </c>
      <c r="E5" t="s">
        <v>1</v>
      </c>
      <c r="F5" t="s">
        <v>1</v>
      </c>
      <c r="G5" t="s">
        <v>1</v>
      </c>
      <c r="H5" t="s">
        <v>1</v>
      </c>
      <c r="I5" t="s">
        <v>1</v>
      </c>
      <c r="J5" t="s">
        <v>1</v>
      </c>
      <c r="K5" t="s">
        <v>1</v>
      </c>
      <c r="L5" t="s">
        <v>1</v>
      </c>
      <c r="M5" t="s">
        <v>1</v>
      </c>
      <c r="N5" t="s">
        <v>1</v>
      </c>
      <c r="O5" t="s">
        <v>1</v>
      </c>
      <c r="P5" t="s">
        <v>1</v>
      </c>
    </row>
    <row r="6" spans="1:16" x14ac:dyDescent="0.3">
      <c r="A6">
        <v>9</v>
      </c>
      <c r="B6" t="str">
        <f t="shared" si="0"/>
        <v>"rev-5-5 j-rev-5-5 rev-5-6 rev-5-7 rev-5-8 rev-5-9a rev-5-9b rev-5-9c j-rev-5-9c j-rev-5-9c j-rev-5-9c j-rev-5-9c j-rev-5-9c"</v>
      </c>
      <c r="C6" t="s">
        <v>30</v>
      </c>
      <c r="D6" t="s">
        <v>307</v>
      </c>
      <c r="E6" t="s">
        <v>306</v>
      </c>
      <c r="F6" t="s">
        <v>305</v>
      </c>
      <c r="G6" t="s">
        <v>304</v>
      </c>
      <c r="H6" t="s">
        <v>303</v>
      </c>
      <c r="I6" t="s">
        <v>302</v>
      </c>
      <c r="J6" t="s">
        <v>301</v>
      </c>
      <c r="K6" t="s">
        <v>300</v>
      </c>
      <c r="L6" t="s">
        <v>299</v>
      </c>
      <c r="M6" t="s">
        <v>299</v>
      </c>
      <c r="N6" t="s">
        <v>299</v>
      </c>
      <c r="O6" t="s">
        <v>299</v>
      </c>
      <c r="P6" t="s">
        <v>299</v>
      </c>
    </row>
    <row r="7" spans="1:16" x14ac:dyDescent="0.3">
      <c r="B7" t="str">
        <f t="shared" si="0"/>
        <v>". . . . . . . . . . . . ."</v>
      </c>
      <c r="C7" t="s">
        <v>30</v>
      </c>
      <c r="D7" t="s">
        <v>1</v>
      </c>
      <c r="E7" t="s">
        <v>1</v>
      </c>
      <c r="F7" t="s">
        <v>1</v>
      </c>
      <c r="G7" t="s">
        <v>1</v>
      </c>
      <c r="H7" t="s">
        <v>1</v>
      </c>
      <c r="I7" t="s">
        <v>1</v>
      </c>
      <c r="J7" t="s">
        <v>1</v>
      </c>
      <c r="K7" t="s">
        <v>1</v>
      </c>
      <c r="L7" t="s">
        <v>1</v>
      </c>
      <c r="M7" t="s">
        <v>1</v>
      </c>
      <c r="N7" t="s">
        <v>1</v>
      </c>
      <c r="O7" t="s">
        <v>1</v>
      </c>
      <c r="P7" t="s">
        <v>1</v>
      </c>
    </row>
    <row r="8" spans="1:16" x14ac:dyDescent="0.3">
      <c r="A8">
        <v>10</v>
      </c>
      <c r="B8" t="str">
        <f t="shared" si="0"/>
        <v>"j-rev-7-2a rev-7-2 rev-7-4 j-rev-7-4 rev-7-9 j-rev-7-9 j-rev-7-9 j-rev-7-9 j-rev-7-9 j-rev-7-9 j-rev-7-9 j-rev-7-9 j-rev-7-9"</v>
      </c>
      <c r="C8" t="s">
        <v>30</v>
      </c>
      <c r="D8" t="s">
        <v>298</v>
      </c>
      <c r="E8" t="s">
        <v>297</v>
      </c>
      <c r="F8" t="s">
        <v>296</v>
      </c>
      <c r="G8" t="s">
        <v>295</v>
      </c>
      <c r="H8" t="s">
        <v>294</v>
      </c>
      <c r="I8" t="s">
        <v>293</v>
      </c>
      <c r="J8" t="s">
        <v>293</v>
      </c>
      <c r="K8" t="s">
        <v>293</v>
      </c>
      <c r="L8" t="s">
        <v>293</v>
      </c>
      <c r="M8" t="s">
        <v>293</v>
      </c>
      <c r="N8" t="s">
        <v>293</v>
      </c>
      <c r="O8" t="s">
        <v>293</v>
      </c>
      <c r="P8" t="s">
        <v>293</v>
      </c>
    </row>
    <row r="9" spans="1:16" x14ac:dyDescent="0.3">
      <c r="B9" t="str">
        <f t="shared" si="0"/>
        <v>". . . . . . . . . . . . ."</v>
      </c>
      <c r="C9" t="s">
        <v>30</v>
      </c>
      <c r="D9" t="s">
        <v>1</v>
      </c>
      <c r="E9" t="s">
        <v>1</v>
      </c>
      <c r="F9" t="s">
        <v>1</v>
      </c>
      <c r="G9" t="s">
        <v>1</v>
      </c>
      <c r="H9" t="s">
        <v>1</v>
      </c>
      <c r="I9" t="s">
        <v>1</v>
      </c>
      <c r="J9" t="s">
        <v>1</v>
      </c>
      <c r="K9" t="s">
        <v>1</v>
      </c>
      <c r="L9" t="s">
        <v>1</v>
      </c>
      <c r="M9" t="s">
        <v>1</v>
      </c>
      <c r="N9" t="s">
        <v>1</v>
      </c>
      <c r="O9" t="s">
        <v>1</v>
      </c>
      <c r="P9" t="s">
        <v>1</v>
      </c>
    </row>
    <row r="10" spans="1:16" x14ac:dyDescent="0.3">
      <c r="A10">
        <v>11</v>
      </c>
      <c r="B10" t="str">
        <f t="shared" si="0"/>
        <v>"rev-8-1 j-rev-8-1 j-rev-8-1 j-rev-8-1 rev-8-3a rev-8-3b j-rev-8-3b j-rev-8-3b j-rev-8-3b rev-8-5a rev-8-5b j-rev-8-5b rev-8-6"</v>
      </c>
      <c r="C10" t="s">
        <v>30</v>
      </c>
      <c r="D10" t="s">
        <v>292</v>
      </c>
      <c r="E10" t="s">
        <v>291</v>
      </c>
      <c r="F10" t="s">
        <v>291</v>
      </c>
      <c r="G10" t="s">
        <v>291</v>
      </c>
      <c r="H10" t="s">
        <v>290</v>
      </c>
      <c r="I10" t="s">
        <v>289</v>
      </c>
      <c r="J10" t="s">
        <v>288</v>
      </c>
      <c r="K10" t="s">
        <v>288</v>
      </c>
      <c r="L10" t="s">
        <v>288</v>
      </c>
      <c r="M10" t="s">
        <v>287</v>
      </c>
      <c r="N10" t="s">
        <v>286</v>
      </c>
      <c r="O10" t="s">
        <v>285</v>
      </c>
      <c r="P10" t="s">
        <v>284</v>
      </c>
    </row>
    <row r="11" spans="1:16" x14ac:dyDescent="0.3">
      <c r="B11" t="str">
        <f t="shared" si="0"/>
        <v>". . . . . . . . . . . . ."</v>
      </c>
      <c r="C11" t="s">
        <v>30</v>
      </c>
      <c r="D11" t="s">
        <v>1</v>
      </c>
      <c r="E11" t="s">
        <v>1</v>
      </c>
      <c r="F11" t="s">
        <v>1</v>
      </c>
      <c r="G11" t="s">
        <v>1</v>
      </c>
      <c r="H11" t="s">
        <v>1</v>
      </c>
      <c r="I11" t="s">
        <v>1</v>
      </c>
      <c r="J11" t="s">
        <v>1</v>
      </c>
      <c r="K11" t="s">
        <v>1</v>
      </c>
      <c r="L11" t="s">
        <v>1</v>
      </c>
      <c r="M11" t="s">
        <v>1</v>
      </c>
      <c r="N11" t="s">
        <v>1</v>
      </c>
      <c r="O11" t="s">
        <v>1</v>
      </c>
      <c r="P11" t="s">
        <v>1</v>
      </c>
    </row>
    <row r="12" spans="1:16" x14ac:dyDescent="0.3">
      <c r="A12">
        <v>12</v>
      </c>
      <c r="B12" t="str">
        <f t="shared" si="0"/>
        <v>". . . . . . . rev-10-1 rev-10-2 rev-10-3 j-rev-10-3 rev-10-5 j-rev-10-5"</v>
      </c>
      <c r="C12" t="s">
        <v>30</v>
      </c>
      <c r="D12" t="s">
        <v>1</v>
      </c>
      <c r="E12" t="s">
        <v>1</v>
      </c>
      <c r="F12" t="s">
        <v>1</v>
      </c>
      <c r="G12" t="s">
        <v>1</v>
      </c>
      <c r="H12" t="s">
        <v>1</v>
      </c>
      <c r="I12" t="s">
        <v>1</v>
      </c>
      <c r="J12" t="s">
        <v>1</v>
      </c>
      <c r="K12" t="s">
        <v>283</v>
      </c>
      <c r="L12" t="s">
        <v>282</v>
      </c>
      <c r="M12" t="s">
        <v>281</v>
      </c>
      <c r="N12" t="s">
        <v>280</v>
      </c>
      <c r="O12" t="s">
        <v>279</v>
      </c>
      <c r="P12" t="s">
        <v>278</v>
      </c>
    </row>
    <row r="13" spans="1:16" x14ac:dyDescent="0.3">
      <c r="B13" t="str">
        <f t="shared" si="0"/>
        <v>". . . . . . . . . . . . ."</v>
      </c>
      <c r="C13" t="s">
        <v>30</v>
      </c>
      <c r="D13" t="s">
        <v>1</v>
      </c>
      <c r="E13" t="s">
        <v>1</v>
      </c>
      <c r="F13" t="s">
        <v>1</v>
      </c>
      <c r="G13" t="s">
        <v>1</v>
      </c>
      <c r="H13" t="s">
        <v>1</v>
      </c>
      <c r="I13" t="s">
        <v>1</v>
      </c>
      <c r="J13" t="s">
        <v>1</v>
      </c>
      <c r="K13" t="s">
        <v>1</v>
      </c>
      <c r="L13" t="s">
        <v>1</v>
      </c>
      <c r="M13" t="s">
        <v>1</v>
      </c>
      <c r="N13" t="s">
        <v>1</v>
      </c>
      <c r="O13" t="s">
        <v>1</v>
      </c>
      <c r="P13" t="s">
        <v>1</v>
      </c>
    </row>
    <row r="14" spans="1:16" x14ac:dyDescent="0.3">
      <c r="A14">
        <v>13</v>
      </c>
      <c r="B14" t="str">
        <f t="shared" si="0"/>
        <v>". . rev-14-1 j-rev-14-1 rev-14-2 rev-14-3 rev-14-4 rev-14-6a j-rev-14-6a j-rev-14-6a j-rev-14-6a rev-14-7a j-rev-14-7a"</v>
      </c>
      <c r="C14" t="s">
        <v>30</v>
      </c>
      <c r="D14" t="s">
        <v>1</v>
      </c>
      <c r="E14" t="s">
        <v>1</v>
      </c>
      <c r="F14" t="s">
        <v>277</v>
      </c>
      <c r="G14" t="s">
        <v>276</v>
      </c>
      <c r="H14" t="s">
        <v>275</v>
      </c>
      <c r="I14" t="s">
        <v>274</v>
      </c>
      <c r="J14" t="s">
        <v>273</v>
      </c>
      <c r="K14" t="s">
        <v>272</v>
      </c>
      <c r="L14" t="s">
        <v>271</v>
      </c>
      <c r="M14" t="s">
        <v>271</v>
      </c>
      <c r="N14" t="s">
        <v>271</v>
      </c>
      <c r="O14" t="s">
        <v>270</v>
      </c>
      <c r="P14" t="s">
        <v>269</v>
      </c>
    </row>
    <row r="15" spans="1:16" x14ac:dyDescent="0.3">
      <c r="B15" t="str">
        <f t="shared" si="0"/>
        <v>". . . . . . . . . . . . ."</v>
      </c>
      <c r="C15" t="s">
        <v>30</v>
      </c>
      <c r="D15" t="s">
        <v>1</v>
      </c>
      <c r="E15" t="s">
        <v>1</v>
      </c>
      <c r="F15" t="s">
        <v>1</v>
      </c>
      <c r="G15" t="s">
        <v>1</v>
      </c>
      <c r="H15" t="s">
        <v>1</v>
      </c>
      <c r="I15" t="s">
        <v>1</v>
      </c>
      <c r="J15" t="s">
        <v>1</v>
      </c>
      <c r="K15" t="s">
        <v>1</v>
      </c>
      <c r="L15" t="s">
        <v>1</v>
      </c>
      <c r="M15" t="s">
        <v>1</v>
      </c>
      <c r="N15" t="s">
        <v>1</v>
      </c>
      <c r="O15" t="s">
        <v>1</v>
      </c>
      <c r="P15" t="s">
        <v>1</v>
      </c>
    </row>
    <row r="16" spans="1:16" x14ac:dyDescent="0.3">
      <c r="A16">
        <v>14</v>
      </c>
      <c r="B16" t="str">
        <f t="shared" si="0"/>
        <v>"dan-12-4 j-dan-12-4 j-dan-12-4 j-dan-12-4 j-dan-12-4 j-dan-12-4 j-dan-12-4 j-dan-12-4 j-dan-12-4 j-dan-12-4 dan-12-5 dan-12-6 j-dan-12-7a"</v>
      </c>
      <c r="C16" t="s">
        <v>30</v>
      </c>
      <c r="D16" t="s">
        <v>476</v>
      </c>
      <c r="E16" t="s">
        <v>477</v>
      </c>
      <c r="F16" t="s">
        <v>477</v>
      </c>
      <c r="G16" t="s">
        <v>477</v>
      </c>
      <c r="H16" t="s">
        <v>477</v>
      </c>
      <c r="I16" t="s">
        <v>477</v>
      </c>
      <c r="J16" t="s">
        <v>477</v>
      </c>
      <c r="K16" t="s">
        <v>477</v>
      </c>
      <c r="L16" t="s">
        <v>477</v>
      </c>
      <c r="M16" t="s">
        <v>477</v>
      </c>
      <c r="N16" t="s">
        <v>478</v>
      </c>
      <c r="O16" t="s">
        <v>385</v>
      </c>
      <c r="P16" t="s">
        <v>384</v>
      </c>
    </row>
    <row r="17" spans="1:16" x14ac:dyDescent="0.3">
      <c r="B17" t="str">
        <f t="shared" si="0"/>
        <v>". . . . . . . . . . . . ."</v>
      </c>
      <c r="C17" t="s">
        <v>30</v>
      </c>
      <c r="D17" t="s">
        <v>1</v>
      </c>
      <c r="E17" t="s">
        <v>1</v>
      </c>
      <c r="F17" t="s">
        <v>1</v>
      </c>
      <c r="G17" t="s">
        <v>1</v>
      </c>
      <c r="H17" t="s">
        <v>1</v>
      </c>
      <c r="I17" t="s">
        <v>1</v>
      </c>
      <c r="J17" t="s">
        <v>1</v>
      </c>
      <c r="K17" t="s">
        <v>1</v>
      </c>
      <c r="L17" t="s">
        <v>1</v>
      </c>
      <c r="M17" t="s">
        <v>1</v>
      </c>
      <c r="N17" t="s">
        <v>1</v>
      </c>
      <c r="O17" t="s">
        <v>1</v>
      </c>
      <c r="P17" t="s">
        <v>1</v>
      </c>
    </row>
    <row r="18" spans="1:16" x14ac:dyDescent="0.3">
      <c r="A18">
        <v>15</v>
      </c>
      <c r="B18" t="str">
        <f t="shared" si="0"/>
        <v>". . . . . . . . . . . . ."</v>
      </c>
      <c r="C18" t="s">
        <v>30</v>
      </c>
      <c r="D18" t="s">
        <v>1</v>
      </c>
      <c r="E18" t="s">
        <v>1</v>
      </c>
      <c r="F18" t="s">
        <v>1</v>
      </c>
      <c r="G18" t="s">
        <v>1</v>
      </c>
      <c r="H18" t="s">
        <v>1</v>
      </c>
      <c r="I18" t="s">
        <v>1</v>
      </c>
      <c r="J18" t="s">
        <v>1</v>
      </c>
      <c r="K18" t="s">
        <v>1</v>
      </c>
      <c r="L18" t="s">
        <v>1</v>
      </c>
      <c r="M18" t="s">
        <v>1</v>
      </c>
      <c r="N18" t="s">
        <v>1</v>
      </c>
      <c r="O18" t="s">
        <v>1</v>
      </c>
      <c r="P18" t="s">
        <v>1</v>
      </c>
    </row>
    <row r="19" spans="1:16" x14ac:dyDescent="0.3">
      <c r="B19" t="str">
        <f t="shared" si="0"/>
        <v>". . . . . . . . . . . . ."</v>
      </c>
      <c r="C19" t="s">
        <v>30</v>
      </c>
      <c r="D19" t="s">
        <v>1</v>
      </c>
      <c r="E19" t="s">
        <v>1</v>
      </c>
      <c r="F19" t="s">
        <v>1</v>
      </c>
      <c r="G19" t="s">
        <v>1</v>
      </c>
      <c r="H19" t="s">
        <v>1</v>
      </c>
      <c r="I19" t="s">
        <v>1</v>
      </c>
      <c r="J19" t="s">
        <v>1</v>
      </c>
      <c r="K19" t="s">
        <v>1</v>
      </c>
      <c r="L19" t="s">
        <v>1</v>
      </c>
      <c r="M19" t="s">
        <v>1</v>
      </c>
      <c r="N19" t="s">
        <v>1</v>
      </c>
      <c r="O19" t="s">
        <v>1</v>
      </c>
      <c r="P19" t="s">
        <v>1</v>
      </c>
    </row>
    <row r="20" spans="1:16" x14ac:dyDescent="0.3">
      <c r="A20">
        <v>16</v>
      </c>
      <c r="B20" t="str">
        <f t="shared" si="0"/>
        <v>". . . . . . . . . . . . ."</v>
      </c>
      <c r="C20" t="s">
        <v>30</v>
      </c>
      <c r="D20" t="s">
        <v>1</v>
      </c>
      <c r="E20" t="s">
        <v>1</v>
      </c>
      <c r="F20" t="s">
        <v>1</v>
      </c>
      <c r="G20" t="s">
        <v>1</v>
      </c>
      <c r="H20" t="s">
        <v>1</v>
      </c>
      <c r="I20" t="s">
        <v>1</v>
      </c>
      <c r="J20" t="s">
        <v>1</v>
      </c>
      <c r="K20" t="s">
        <v>1</v>
      </c>
      <c r="L20" t="s">
        <v>1</v>
      </c>
      <c r="M20" t="s">
        <v>1</v>
      </c>
      <c r="N20" t="s">
        <v>1</v>
      </c>
      <c r="O20" t="s">
        <v>1</v>
      </c>
      <c r="P20" t="s">
        <v>1</v>
      </c>
    </row>
    <row r="21" spans="1:16" x14ac:dyDescent="0.3">
      <c r="B21" t="str">
        <f t="shared" si="0"/>
        <v>". . . . . . . . . . . . ."</v>
      </c>
      <c r="C21" t="s">
        <v>30</v>
      </c>
      <c r="D21" t="s">
        <v>1</v>
      </c>
      <c r="E21" t="s">
        <v>1</v>
      </c>
      <c r="F21" t="s">
        <v>1</v>
      </c>
      <c r="G21" t="s">
        <v>1</v>
      </c>
      <c r="H21" t="s">
        <v>1</v>
      </c>
      <c r="I21" t="s">
        <v>1</v>
      </c>
      <c r="J21" t="s">
        <v>1</v>
      </c>
      <c r="K21" t="s">
        <v>1</v>
      </c>
      <c r="L21" t="s">
        <v>1</v>
      </c>
      <c r="M21" t="s">
        <v>1</v>
      </c>
      <c r="N21" t="s">
        <v>1</v>
      </c>
      <c r="O21" t="s">
        <v>1</v>
      </c>
      <c r="P21" t="s">
        <v>1</v>
      </c>
    </row>
    <row r="22" spans="1:16" x14ac:dyDescent="0.3">
      <c r="A22">
        <v>17</v>
      </c>
      <c r="B22" t="str">
        <f t="shared" si="0"/>
        <v>"j-rev-4-3a j-rev-4-3a j-rev-4-3a j-rev-4-3a rev-4-4 j-rev-4-4 j-rev-4-4 j-rev-4-4 j-rev-4-4 rev-4-5 j-rev-4-5 j-rev-4-5 j-rev-4-5"</v>
      </c>
      <c r="C22" t="s">
        <v>30</v>
      </c>
      <c r="D22" t="s">
        <v>267</v>
      </c>
      <c r="E22" t="s">
        <v>267</v>
      </c>
      <c r="F22" t="s">
        <v>267</v>
      </c>
      <c r="G22" t="s">
        <v>267</v>
      </c>
      <c r="H22" t="s">
        <v>266</v>
      </c>
      <c r="I22" t="s">
        <v>265</v>
      </c>
      <c r="J22" t="s">
        <v>265</v>
      </c>
      <c r="K22" t="s">
        <v>265</v>
      </c>
      <c r="L22" t="s">
        <v>265</v>
      </c>
      <c r="M22" t="s">
        <v>264</v>
      </c>
      <c r="N22" t="s">
        <v>263</v>
      </c>
      <c r="O22" t="s">
        <v>263</v>
      </c>
      <c r="P22" t="s">
        <v>263</v>
      </c>
    </row>
    <row r="23" spans="1:16" x14ac:dyDescent="0.3">
      <c r="B23" t="str">
        <f t="shared" si="0"/>
        <v>". . . . . . . . . . . . ."</v>
      </c>
      <c r="C23" t="s">
        <v>30</v>
      </c>
      <c r="D23" t="s">
        <v>1</v>
      </c>
      <c r="E23" t="s">
        <v>1</v>
      </c>
      <c r="F23" t="s">
        <v>1</v>
      </c>
      <c r="G23" t="s">
        <v>1</v>
      </c>
      <c r="H23" t="s">
        <v>1</v>
      </c>
      <c r="I23" t="s">
        <v>1</v>
      </c>
      <c r="J23" t="s">
        <v>1</v>
      </c>
      <c r="K23" t="s">
        <v>1</v>
      </c>
      <c r="L23" t="s">
        <v>1</v>
      </c>
      <c r="M23" t="s">
        <v>1</v>
      </c>
      <c r="N23" t="s">
        <v>1</v>
      </c>
      <c r="O23" t="s">
        <v>1</v>
      </c>
      <c r="P23" t="s">
        <v>1</v>
      </c>
    </row>
    <row r="24" spans="1:16" x14ac:dyDescent="0.3">
      <c r="A24">
        <v>18</v>
      </c>
      <c r="B24" t="str">
        <f t="shared" si="0"/>
        <v>". . . . . . . . . . . . ."</v>
      </c>
      <c r="C24" t="s">
        <v>30</v>
      </c>
      <c r="D24" t="s">
        <v>1</v>
      </c>
      <c r="E24" t="s">
        <v>1</v>
      </c>
      <c r="F24" t="s">
        <v>1</v>
      </c>
      <c r="G24" t="s">
        <v>1</v>
      </c>
      <c r="H24" t="s">
        <v>1</v>
      </c>
      <c r="I24" t="s">
        <v>1</v>
      </c>
      <c r="J24" t="s">
        <v>1</v>
      </c>
      <c r="K24" t="s">
        <v>1</v>
      </c>
      <c r="L24" t="s">
        <v>1</v>
      </c>
      <c r="M24" t="s">
        <v>1</v>
      </c>
      <c r="N24" t="s">
        <v>1</v>
      </c>
      <c r="O24" t="s">
        <v>1</v>
      </c>
      <c r="P24" t="s">
        <v>1</v>
      </c>
    </row>
    <row r="25" spans="1:16" x14ac:dyDescent="0.3">
      <c r="B25" t="str">
        <f t="shared" si="0"/>
        <v>". . . . . . . . . . . . ."</v>
      </c>
      <c r="C25" t="s">
        <v>30</v>
      </c>
      <c r="D25" t="s">
        <v>1</v>
      </c>
      <c r="E25" t="s">
        <v>1</v>
      </c>
      <c r="F25" t="s">
        <v>1</v>
      </c>
      <c r="G25" t="s">
        <v>1</v>
      </c>
      <c r="H25" t="s">
        <v>1</v>
      </c>
      <c r="I25" t="s">
        <v>1</v>
      </c>
      <c r="J25" t="s">
        <v>1</v>
      </c>
      <c r="K25" t="s">
        <v>1</v>
      </c>
      <c r="L25" t="s">
        <v>1</v>
      </c>
      <c r="M25" t="s">
        <v>1</v>
      </c>
      <c r="N25" t="s">
        <v>1</v>
      </c>
      <c r="O25" t="s">
        <v>1</v>
      </c>
      <c r="P25" t="s">
        <v>1</v>
      </c>
    </row>
    <row r="26" spans="1:16" x14ac:dyDescent="0.3">
      <c r="A26">
        <v>19</v>
      </c>
      <c r="B26" t="str">
        <f t="shared" si="0"/>
        <v>"j-ba2-30-2aa j-ba2-30-2aa ba2-30-2b j-ba2-30-2b ba2-30-2c j-ba2-30-2c j-ba2-30-2c j-ba2-30-2c j-ba2-30-2c j-ba2-30-2c j-ba2-30-2c j-ba2-30-2c j-ba2-30-2c"</v>
      </c>
      <c r="C26" t="s">
        <v>30</v>
      </c>
      <c r="D26" t="s">
        <v>262</v>
      </c>
      <c r="E26" t="s">
        <v>262</v>
      </c>
      <c r="F26" t="s">
        <v>261</v>
      </c>
      <c r="G26" t="s">
        <v>260</v>
      </c>
      <c r="H26" t="s">
        <v>259</v>
      </c>
      <c r="I26" t="s">
        <v>258</v>
      </c>
      <c r="J26" t="s">
        <v>258</v>
      </c>
      <c r="K26" t="s">
        <v>258</v>
      </c>
      <c r="L26" t="s">
        <v>258</v>
      </c>
      <c r="M26" t="s">
        <v>258</v>
      </c>
      <c r="N26" t="s">
        <v>258</v>
      </c>
      <c r="O26" t="s">
        <v>258</v>
      </c>
      <c r="P26" t="s">
        <v>258</v>
      </c>
    </row>
    <row r="27" spans="1:16" x14ac:dyDescent="0.3">
      <c r="B27" t="str">
        <f t="shared" si="0"/>
        <v>". . . . . . . . . . . . ."</v>
      </c>
      <c r="C27" t="s">
        <v>30</v>
      </c>
      <c r="D27" t="s">
        <v>1</v>
      </c>
      <c r="E27" t="s">
        <v>1</v>
      </c>
      <c r="F27" t="s">
        <v>1</v>
      </c>
      <c r="G27" t="s">
        <v>1</v>
      </c>
      <c r="H27" t="s">
        <v>1</v>
      </c>
      <c r="I27" t="s">
        <v>1</v>
      </c>
      <c r="J27" t="s">
        <v>1</v>
      </c>
      <c r="K27" t="s">
        <v>1</v>
      </c>
      <c r="L27" t="s">
        <v>1</v>
      </c>
      <c r="M27" t="s">
        <v>1</v>
      </c>
      <c r="N27" t="s">
        <v>1</v>
      </c>
      <c r="O27" t="s">
        <v>1</v>
      </c>
      <c r="P27" t="s">
        <v>1</v>
      </c>
    </row>
    <row r="28" spans="1:16" x14ac:dyDescent="0.3">
      <c r="A28">
        <v>20</v>
      </c>
      <c r="B28" t="str">
        <f t="shared" si="0"/>
        <v>". . . . . . . . . . . . ."</v>
      </c>
      <c r="C28" t="s">
        <v>30</v>
      </c>
      <c r="D28" t="s">
        <v>1</v>
      </c>
      <c r="E28" t="s">
        <v>1</v>
      </c>
      <c r="F28" t="s">
        <v>1</v>
      </c>
      <c r="G28" t="s">
        <v>1</v>
      </c>
      <c r="H28" t="s">
        <v>1</v>
      </c>
      <c r="I28" t="s">
        <v>1</v>
      </c>
      <c r="J28" t="s">
        <v>1</v>
      </c>
      <c r="K28" t="s">
        <v>1</v>
      </c>
      <c r="L28" t="s">
        <v>1</v>
      </c>
      <c r="M28" t="s">
        <v>1</v>
      </c>
      <c r="N28" t="s">
        <v>1</v>
      </c>
      <c r="O28" t="s">
        <v>1</v>
      </c>
      <c r="P28" t="s">
        <v>1</v>
      </c>
    </row>
    <row r="29" spans="1:16" x14ac:dyDescent="0.3">
      <c r="B29" t="str">
        <f t="shared" si="0"/>
        <v>". . . . . . . . . . . . ."</v>
      </c>
      <c r="C29" t="s">
        <v>30</v>
      </c>
      <c r="D29" t="s">
        <v>1</v>
      </c>
      <c r="E29" t="s">
        <v>1</v>
      </c>
      <c r="F29" t="s">
        <v>1</v>
      </c>
      <c r="G29" t="s">
        <v>1</v>
      </c>
      <c r="H29" t="s">
        <v>1</v>
      </c>
      <c r="I29" t="s">
        <v>1</v>
      </c>
      <c r="J29" t="s">
        <v>1</v>
      </c>
      <c r="K29" t="s">
        <v>1</v>
      </c>
      <c r="L29" t="s">
        <v>1</v>
      </c>
      <c r="M29" t="s">
        <v>1</v>
      </c>
      <c r="N29" t="s">
        <v>1</v>
      </c>
      <c r="O29" t="s">
        <v>1</v>
      </c>
      <c r="P29" t="s">
        <v>1</v>
      </c>
    </row>
    <row r="30" spans="1:16" x14ac:dyDescent="0.3">
      <c r="A30">
        <v>21</v>
      </c>
      <c r="B30" t="str">
        <f t="shared" si="0"/>
        <v>". . . . . . . rev-18-1 j-rev-18-1 j-rev-18-1 j-rev-18-1 j-rev-18-1 j-rev-18-1"</v>
      </c>
      <c r="C30" t="s">
        <v>30</v>
      </c>
      <c r="D30" t="s">
        <v>1</v>
      </c>
      <c r="E30" t="s">
        <v>1</v>
      </c>
      <c r="F30" t="s">
        <v>1</v>
      </c>
      <c r="G30" t="s">
        <v>1</v>
      </c>
      <c r="H30" t="s">
        <v>1</v>
      </c>
      <c r="I30" t="s">
        <v>1</v>
      </c>
      <c r="J30" t="s">
        <v>1</v>
      </c>
      <c r="K30" t="s">
        <v>257</v>
      </c>
      <c r="L30" t="s">
        <v>256</v>
      </c>
      <c r="M30" t="s">
        <v>256</v>
      </c>
      <c r="N30" t="s">
        <v>256</v>
      </c>
      <c r="O30" t="s">
        <v>256</v>
      </c>
      <c r="P30" t="s">
        <v>256</v>
      </c>
    </row>
    <row r="31" spans="1:16" x14ac:dyDescent="0.3">
      <c r="B31" t="str">
        <f t="shared" si="0"/>
        <v>". . . . . . . . . . . . ."</v>
      </c>
      <c r="C31" t="s">
        <v>30</v>
      </c>
      <c r="D31" t="s">
        <v>1</v>
      </c>
      <c r="E31" t="s">
        <v>1</v>
      </c>
      <c r="F31" t="s">
        <v>1</v>
      </c>
      <c r="G31" t="s">
        <v>1</v>
      </c>
      <c r="H31" t="s">
        <v>1</v>
      </c>
      <c r="I31" t="s">
        <v>1</v>
      </c>
      <c r="J31" t="s">
        <v>1</v>
      </c>
      <c r="K31" t="s">
        <v>1</v>
      </c>
      <c r="L31" t="s">
        <v>1</v>
      </c>
      <c r="M31" t="s">
        <v>1</v>
      </c>
      <c r="N31" t="s">
        <v>1</v>
      </c>
      <c r="O31" t="s">
        <v>1</v>
      </c>
      <c r="P31" t="s">
        <v>1</v>
      </c>
    </row>
    <row r="32" spans="1:16" x14ac:dyDescent="0.3">
      <c r="A32">
        <v>22</v>
      </c>
      <c r="B32" t="str">
        <f t="shared" si="0"/>
        <v>". . . . . . . . . . . . ."</v>
      </c>
      <c r="C32" t="s">
        <v>30</v>
      </c>
      <c r="D32" t="s">
        <v>1</v>
      </c>
      <c r="E32" t="s">
        <v>1</v>
      </c>
      <c r="F32" t="s">
        <v>1</v>
      </c>
      <c r="G32" t="s">
        <v>1</v>
      </c>
      <c r="H32" t="s">
        <v>1</v>
      </c>
      <c r="I32" t="s">
        <v>1</v>
      </c>
      <c r="J32" t="s">
        <v>1</v>
      </c>
      <c r="K32" t="s">
        <v>1</v>
      </c>
      <c r="L32" t="s">
        <v>1</v>
      </c>
      <c r="M32" t="s">
        <v>1</v>
      </c>
      <c r="N32" t="s">
        <v>1</v>
      </c>
      <c r="O32" t="s">
        <v>1</v>
      </c>
      <c r="P32" t="s">
        <v>1</v>
      </c>
    </row>
    <row r="33" spans="1:16" x14ac:dyDescent="0.3">
      <c r="B33" t="str">
        <f t="shared" si="0"/>
        <v>". . . . . . . . . . . . ."</v>
      </c>
      <c r="C33" t="s">
        <v>30</v>
      </c>
      <c r="D33" t="s">
        <v>1</v>
      </c>
      <c r="E33" t="s">
        <v>1</v>
      </c>
      <c r="F33" t="s">
        <v>1</v>
      </c>
      <c r="G33" t="s">
        <v>1</v>
      </c>
      <c r="H33" t="s">
        <v>1</v>
      </c>
      <c r="I33" t="s">
        <v>1</v>
      </c>
      <c r="J33" t="s">
        <v>1</v>
      </c>
      <c r="K33" t="s">
        <v>1</v>
      </c>
      <c r="L33" t="s">
        <v>1</v>
      </c>
      <c r="M33" t="s">
        <v>1</v>
      </c>
      <c r="N33" t="s">
        <v>1</v>
      </c>
      <c r="O33" t="s">
        <v>1</v>
      </c>
      <c r="P33" t="s">
        <v>1</v>
      </c>
    </row>
    <row r="34" spans="1:16" x14ac:dyDescent="0.3">
      <c r="A34">
        <v>23</v>
      </c>
      <c r="B34" t="str">
        <f>_xlfn.CONCAT(CHAR(34), _xlfn.TEXTJOIN(" ",TRUE,D34:ZM34),CHAR(34))</f>
        <v>"es2-5-2 j-es2-5-2 j-es2-5-2 j-es2-5-2 j-es2-5-2 j-es2-5-2 j-es2-5-2 j-es2-5-2 j-es2-5-2 j-es2-5-2 j-es2-5-2 j-es2-5-2 j-es2-5-2"</v>
      </c>
      <c r="C34" t="s">
        <v>30</v>
      </c>
      <c r="D34" t="s">
        <v>210</v>
      </c>
      <c r="E34" t="s">
        <v>473</v>
      </c>
      <c r="F34" t="s">
        <v>473</v>
      </c>
      <c r="G34" t="s">
        <v>473</v>
      </c>
      <c r="H34" t="s">
        <v>473</v>
      </c>
      <c r="I34" t="s">
        <v>473</v>
      </c>
      <c r="J34" t="s">
        <v>473</v>
      </c>
      <c r="K34" t="s">
        <v>473</v>
      </c>
      <c r="L34" t="s">
        <v>473</v>
      </c>
      <c r="M34" t="s">
        <v>473</v>
      </c>
      <c r="N34" t="s">
        <v>473</v>
      </c>
      <c r="O34" t="s">
        <v>473</v>
      </c>
      <c r="P34" t="s">
        <v>473</v>
      </c>
    </row>
    <row r="35" spans="1:16" x14ac:dyDescent="0.3">
      <c r="B35" t="str">
        <f t="shared" si="0"/>
        <v>". . . . . . . . . . . . ."</v>
      </c>
      <c r="C35" t="s">
        <v>30</v>
      </c>
      <c r="D35" t="s">
        <v>1</v>
      </c>
      <c r="E35" t="s">
        <v>1</v>
      </c>
      <c r="F35" t="s">
        <v>1</v>
      </c>
      <c r="G35" t="s">
        <v>1</v>
      </c>
      <c r="H35" t="s">
        <v>1</v>
      </c>
      <c r="I35" t="s">
        <v>1</v>
      </c>
      <c r="J35" t="s">
        <v>1</v>
      </c>
      <c r="K35" t="s">
        <v>1</v>
      </c>
      <c r="L35" t="s">
        <v>1</v>
      </c>
      <c r="M35" t="s">
        <v>1</v>
      </c>
      <c r="N35" t="s">
        <v>1</v>
      </c>
      <c r="O35" t="s">
        <v>1</v>
      </c>
      <c r="P35" t="s">
        <v>1</v>
      </c>
    </row>
    <row r="36" spans="1:16" x14ac:dyDescent="0.3">
      <c r="A36">
        <v>24</v>
      </c>
      <c r="B36" t="str">
        <f t="shared" si="0"/>
        <v>"j-es2-2-37a j-es2-2-37a es2-2-38 j-es2-2-38 es2-2-39 es2-2-41 j-es2-2-41-e . . . . . ."</v>
      </c>
      <c r="C36" t="s">
        <v>30</v>
      </c>
      <c r="D36" t="s">
        <v>253</v>
      </c>
      <c r="E36" t="s">
        <v>253</v>
      </c>
      <c r="F36" t="s">
        <v>252</v>
      </c>
      <c r="G36" t="s">
        <v>251</v>
      </c>
      <c r="H36" t="s">
        <v>250</v>
      </c>
      <c r="I36" t="s">
        <v>249</v>
      </c>
      <c r="J36" t="s">
        <v>248</v>
      </c>
      <c r="K36" t="s">
        <v>1</v>
      </c>
      <c r="L36" t="s">
        <v>1</v>
      </c>
      <c r="M36" t="s">
        <v>1</v>
      </c>
      <c r="N36" t="s">
        <v>1</v>
      </c>
      <c r="O36" t="s">
        <v>1</v>
      </c>
      <c r="P36" t="s">
        <v>1</v>
      </c>
    </row>
    <row r="37" spans="1:16" x14ac:dyDescent="0.3">
      <c r="B37" t="str">
        <f t="shared" si="0"/>
        <v>". . . . . . . . . . . . ."</v>
      </c>
      <c r="C37" t="s">
        <v>30</v>
      </c>
      <c r="D37" t="s">
        <v>1</v>
      </c>
      <c r="E37" t="s">
        <v>1</v>
      </c>
      <c r="F37" t="s">
        <v>1</v>
      </c>
      <c r="G37" t="s">
        <v>1</v>
      </c>
      <c r="H37" t="s">
        <v>1</v>
      </c>
      <c r="I37" t="s">
        <v>1</v>
      </c>
      <c r="J37" t="s">
        <v>1</v>
      </c>
      <c r="K37" t="s">
        <v>1</v>
      </c>
      <c r="L37" t="s">
        <v>1</v>
      </c>
      <c r="M37" t="s">
        <v>1</v>
      </c>
      <c r="N37" t="s">
        <v>1</v>
      </c>
      <c r="O37" t="s">
        <v>1</v>
      </c>
      <c r="P37" t="s">
        <v>1</v>
      </c>
    </row>
    <row r="38" spans="1:16" x14ac:dyDescent="0.3">
      <c r="A38">
        <v>25</v>
      </c>
      <c r="B38" t="str">
        <f t="shared" si="0"/>
        <v>". . . . . . . . j-es2-16-9-s es2-16-9 es2-16-12a es2-16-12b es2-16-13"</v>
      </c>
      <c r="C38" t="s">
        <v>30</v>
      </c>
      <c r="D38" t="s">
        <v>1</v>
      </c>
      <c r="E38" t="s">
        <v>1</v>
      </c>
      <c r="F38" t="s">
        <v>1</v>
      </c>
      <c r="G38" t="s">
        <v>1</v>
      </c>
      <c r="H38" t="s">
        <v>1</v>
      </c>
      <c r="I38" t="s">
        <v>1</v>
      </c>
      <c r="J38" t="s">
        <v>1</v>
      </c>
      <c r="K38" t="s">
        <v>1</v>
      </c>
      <c r="L38" t="s">
        <v>247</v>
      </c>
      <c r="M38" t="s">
        <v>246</v>
      </c>
      <c r="N38" t="s">
        <v>245</v>
      </c>
      <c r="O38" t="s">
        <v>339</v>
      </c>
      <c r="P38" t="s">
        <v>453</v>
      </c>
    </row>
    <row r="39" spans="1:16" x14ac:dyDescent="0.3">
      <c r="B39" t="str">
        <f t="shared" si="0"/>
        <v>". . . . . . . . . . . . ."</v>
      </c>
      <c r="C39" t="s">
        <v>30</v>
      </c>
      <c r="D39" t="s">
        <v>1</v>
      </c>
      <c r="E39" t="s">
        <v>1</v>
      </c>
      <c r="F39" t="s">
        <v>1</v>
      </c>
      <c r="G39" t="s">
        <v>1</v>
      </c>
      <c r="H39" t="s">
        <v>1</v>
      </c>
      <c r="I39" t="s">
        <v>1</v>
      </c>
      <c r="J39" t="s">
        <v>1</v>
      </c>
      <c r="K39" t="s">
        <v>1</v>
      </c>
      <c r="L39" t="s">
        <v>1</v>
      </c>
      <c r="M39" t="s">
        <v>1</v>
      </c>
      <c r="N39" t="s">
        <v>1</v>
      </c>
      <c r="O39" t="s">
        <v>1</v>
      </c>
      <c r="P39" t="s">
        <v>1</v>
      </c>
    </row>
    <row r="40" spans="1:16" x14ac:dyDescent="0.3">
      <c r="A40">
        <v>26</v>
      </c>
      <c r="B40" t="str">
        <f t="shared" ref="B40:B56" si="1">_xlfn.CONCAT(CHAR(34), _xlfn.TEXTJOIN(" ",TRUE,D40:ZM40),CHAR(34))</f>
        <v>". . . . . . . . . . . . ."</v>
      </c>
      <c r="C40" t="s">
        <v>30</v>
      </c>
      <c r="D40" t="s">
        <v>1</v>
      </c>
      <c r="E40" t="s">
        <v>1</v>
      </c>
      <c r="F40" t="s">
        <v>1</v>
      </c>
      <c r="G40" t="s">
        <v>1</v>
      </c>
      <c r="H40" t="s">
        <v>1</v>
      </c>
      <c r="I40" t="s">
        <v>1</v>
      </c>
      <c r="J40" t="s">
        <v>1</v>
      </c>
      <c r="K40" t="s">
        <v>1</v>
      </c>
      <c r="L40" t="s">
        <v>1</v>
      </c>
      <c r="M40" t="s">
        <v>1</v>
      </c>
      <c r="N40" t="s">
        <v>1</v>
      </c>
      <c r="O40" t="s">
        <v>1</v>
      </c>
      <c r="P40" t="s">
        <v>1</v>
      </c>
    </row>
    <row r="41" spans="1:16" x14ac:dyDescent="0.3">
      <c r="B41" t="str">
        <f t="shared" si="1"/>
        <v>". . . . . . . . . . . . ."</v>
      </c>
      <c r="C41" t="s">
        <v>30</v>
      </c>
      <c r="D41" t="s">
        <v>1</v>
      </c>
      <c r="E41" t="s">
        <v>1</v>
      </c>
      <c r="F41" t="s">
        <v>1</v>
      </c>
      <c r="G41" t="s">
        <v>1</v>
      </c>
      <c r="H41" t="s">
        <v>1</v>
      </c>
      <c r="I41" t="s">
        <v>1</v>
      </c>
      <c r="J41" t="s">
        <v>1</v>
      </c>
      <c r="K41" t="s">
        <v>1</v>
      </c>
      <c r="L41" t="s">
        <v>1</v>
      </c>
      <c r="M41" t="s">
        <v>1</v>
      </c>
      <c r="N41" t="s">
        <v>1</v>
      </c>
      <c r="O41" t="s">
        <v>1</v>
      </c>
      <c r="P41" t="s">
        <v>1</v>
      </c>
    </row>
    <row r="42" spans="1:16" x14ac:dyDescent="0.3">
      <c r="A42">
        <v>27</v>
      </c>
      <c r="B42" t="str">
        <f t="shared" si="1"/>
        <v>". . . . . . . . . . . . ."</v>
      </c>
      <c r="C42" t="s">
        <v>30</v>
      </c>
      <c r="D42" t="s">
        <v>1</v>
      </c>
      <c r="E42" t="s">
        <v>1</v>
      </c>
      <c r="F42" t="s">
        <v>1</v>
      </c>
      <c r="G42" t="s">
        <v>1</v>
      </c>
      <c r="H42" t="s">
        <v>1</v>
      </c>
      <c r="I42" t="s">
        <v>1</v>
      </c>
      <c r="J42" t="s">
        <v>1</v>
      </c>
      <c r="K42" t="s">
        <v>1</v>
      </c>
      <c r="L42" t="s">
        <v>1</v>
      </c>
      <c r="M42" t="s">
        <v>1</v>
      </c>
      <c r="N42" t="s">
        <v>1</v>
      </c>
      <c r="O42" t="s">
        <v>1</v>
      </c>
      <c r="P42" t="s">
        <v>1</v>
      </c>
    </row>
    <row r="43" spans="1:16" x14ac:dyDescent="0.3">
      <c r="B43" t="str">
        <f t="shared" si="1"/>
        <v>". . . . . . . . . . . . ."</v>
      </c>
      <c r="C43" t="s">
        <v>30</v>
      </c>
      <c r="D43" t="s">
        <v>1</v>
      </c>
      <c r="E43" t="s">
        <v>1</v>
      </c>
      <c r="F43" t="s">
        <v>1</v>
      </c>
      <c r="G43" t="s">
        <v>1</v>
      </c>
      <c r="H43" t="s">
        <v>1</v>
      </c>
      <c r="I43" t="s">
        <v>1</v>
      </c>
      <c r="J43" t="s">
        <v>1</v>
      </c>
      <c r="K43" t="s">
        <v>1</v>
      </c>
      <c r="L43" t="s">
        <v>1</v>
      </c>
      <c r="M43" t="s">
        <v>1</v>
      </c>
      <c r="N43" t="s">
        <v>1</v>
      </c>
      <c r="O43" t="s">
        <v>1</v>
      </c>
      <c r="P43" t="s">
        <v>1</v>
      </c>
    </row>
    <row r="44" spans="1:16" x14ac:dyDescent="0.3">
      <c r="A44">
        <v>28</v>
      </c>
      <c r="B44" t="str">
        <f t="shared" si="1"/>
        <v>". . . . . . . . . . . . ."</v>
      </c>
      <c r="C44" t="s">
        <v>30</v>
      </c>
      <c r="D44" t="s">
        <v>1</v>
      </c>
      <c r="E44" t="s">
        <v>1</v>
      </c>
      <c r="F44" t="s">
        <v>1</v>
      </c>
      <c r="G44" t="s">
        <v>1</v>
      </c>
      <c r="H44" t="s">
        <v>1</v>
      </c>
      <c r="I44" t="s">
        <v>1</v>
      </c>
      <c r="J44" t="s">
        <v>1</v>
      </c>
      <c r="K44" t="s">
        <v>1</v>
      </c>
      <c r="L44" t="s">
        <v>1</v>
      </c>
      <c r="M44" t="s">
        <v>1</v>
      </c>
      <c r="N44" t="s">
        <v>1</v>
      </c>
      <c r="O44" t="s">
        <v>1</v>
      </c>
      <c r="P44" t="s">
        <v>1</v>
      </c>
    </row>
    <row r="45" spans="1:16" x14ac:dyDescent="0.3">
      <c r="B45" t="str">
        <f t="shared" si="1"/>
        <v>". . . . . . . . . . . . ."</v>
      </c>
      <c r="C45" t="s">
        <v>30</v>
      </c>
      <c r="D45" t="s">
        <v>1</v>
      </c>
      <c r="E45" t="s">
        <v>1</v>
      </c>
      <c r="F45" t="s">
        <v>1</v>
      </c>
      <c r="G45" t="s">
        <v>1</v>
      </c>
      <c r="H45" t="s">
        <v>1</v>
      </c>
      <c r="I45" t="s">
        <v>1</v>
      </c>
      <c r="J45" t="s">
        <v>1</v>
      </c>
      <c r="K45" t="s">
        <v>1</v>
      </c>
      <c r="L45" t="s">
        <v>1</v>
      </c>
      <c r="M45" t="s">
        <v>1</v>
      </c>
      <c r="N45" t="s">
        <v>1</v>
      </c>
      <c r="O45" t="s">
        <v>1</v>
      </c>
      <c r="P45" t="s">
        <v>1</v>
      </c>
    </row>
    <row r="46" spans="1:16" x14ac:dyDescent="0.3">
      <c r="A46">
        <v>29</v>
      </c>
      <c r="B46" t="str">
        <f t="shared" si="1"/>
        <v>". . . . . . . . . . . . ."</v>
      </c>
      <c r="C46" t="s">
        <v>30</v>
      </c>
      <c r="D46" t="s">
        <v>1</v>
      </c>
      <c r="E46" t="s">
        <v>1</v>
      </c>
      <c r="F46" t="s">
        <v>1</v>
      </c>
      <c r="G46" t="s">
        <v>1</v>
      </c>
      <c r="H46" t="s">
        <v>1</v>
      </c>
      <c r="I46" t="s">
        <v>1</v>
      </c>
      <c r="J46" t="s">
        <v>1</v>
      </c>
      <c r="K46" t="s">
        <v>1</v>
      </c>
      <c r="L46" t="s">
        <v>1</v>
      </c>
      <c r="M46" t="s">
        <v>1</v>
      </c>
      <c r="N46" t="s">
        <v>1</v>
      </c>
      <c r="O46" t="s">
        <v>1</v>
      </c>
      <c r="P46" t="s">
        <v>1</v>
      </c>
    </row>
    <row r="47" spans="1:16" x14ac:dyDescent="0.3">
      <c r="B47" t="str">
        <f t="shared" si="1"/>
        <v>". . . . . . . . . . . . ."</v>
      </c>
      <c r="C47" t="s">
        <v>30</v>
      </c>
      <c r="D47" t="s">
        <v>1</v>
      </c>
      <c r="E47" t="s">
        <v>1</v>
      </c>
      <c r="F47" t="s">
        <v>1</v>
      </c>
      <c r="G47" t="s">
        <v>1</v>
      </c>
      <c r="H47" t="s">
        <v>1</v>
      </c>
      <c r="I47" t="s">
        <v>1</v>
      </c>
      <c r="J47" t="s">
        <v>1</v>
      </c>
      <c r="K47" t="s">
        <v>1</v>
      </c>
      <c r="L47" t="s">
        <v>1</v>
      </c>
      <c r="M47" t="s">
        <v>1</v>
      </c>
      <c r="N47" t="s">
        <v>1</v>
      </c>
      <c r="O47" t="s">
        <v>1</v>
      </c>
      <c r="P47" t="s">
        <v>1</v>
      </c>
    </row>
    <row r="48" spans="1:16" x14ac:dyDescent="0.3">
      <c r="A48">
        <v>30</v>
      </c>
      <c r="B48" t="str">
        <f t="shared" si="1"/>
        <v>". . . . . . . . . . . . ."</v>
      </c>
      <c r="C48" t="s">
        <v>30</v>
      </c>
      <c r="D48" t="s">
        <v>1</v>
      </c>
      <c r="E48" t="s">
        <v>1</v>
      </c>
      <c r="F48" t="s">
        <v>1</v>
      </c>
      <c r="G48" t="s">
        <v>1</v>
      </c>
      <c r="H48" t="s">
        <v>1</v>
      </c>
      <c r="I48" t="s">
        <v>1</v>
      </c>
      <c r="J48" t="s">
        <v>1</v>
      </c>
      <c r="K48" t="s">
        <v>1</v>
      </c>
      <c r="L48" t="s">
        <v>1</v>
      </c>
      <c r="M48" t="s">
        <v>1</v>
      </c>
      <c r="N48" t="s">
        <v>1</v>
      </c>
      <c r="O48" t="s">
        <v>1</v>
      </c>
      <c r="P48" t="s">
        <v>1</v>
      </c>
    </row>
    <row r="49" spans="1:16" x14ac:dyDescent="0.3">
      <c r="B49" t="str">
        <f t="shared" si="1"/>
        <v>". . . . . . . . . . . . ."</v>
      </c>
      <c r="C49" t="s">
        <v>30</v>
      </c>
      <c r="D49" t="s">
        <v>1</v>
      </c>
      <c r="E49" t="s">
        <v>1</v>
      </c>
      <c r="F49" t="s">
        <v>1</v>
      </c>
      <c r="G49" t="s">
        <v>1</v>
      </c>
      <c r="H49" t="s">
        <v>1</v>
      </c>
      <c r="I49" t="s">
        <v>1</v>
      </c>
      <c r="J49" t="s">
        <v>1</v>
      </c>
      <c r="K49" t="s">
        <v>1</v>
      </c>
      <c r="L49" t="s">
        <v>1</v>
      </c>
      <c r="M49" t="s">
        <v>1</v>
      </c>
      <c r="N49" t="s">
        <v>1</v>
      </c>
      <c r="O49" t="s">
        <v>1</v>
      </c>
      <c r="P49" t="s">
        <v>1</v>
      </c>
    </row>
    <row r="50" spans="1:16" x14ac:dyDescent="0.3">
      <c r="A50">
        <v>31</v>
      </c>
      <c r="B50" t="str">
        <f t="shared" si="1"/>
        <v>". . . . . . . . . . . . ."</v>
      </c>
      <c r="C50" t="s">
        <v>30</v>
      </c>
      <c r="D50" t="s">
        <v>1</v>
      </c>
      <c r="E50" t="s">
        <v>1</v>
      </c>
      <c r="F50" t="s">
        <v>1</v>
      </c>
      <c r="G50" t="s">
        <v>1</v>
      </c>
      <c r="H50" t="s">
        <v>1</v>
      </c>
      <c r="I50" t="s">
        <v>1</v>
      </c>
      <c r="J50" t="s">
        <v>1</v>
      </c>
      <c r="K50" t="s">
        <v>1</v>
      </c>
      <c r="L50" t="s">
        <v>1</v>
      </c>
      <c r="M50" t="s">
        <v>1</v>
      </c>
      <c r="N50" t="s">
        <v>1</v>
      </c>
      <c r="O50" t="s">
        <v>1</v>
      </c>
      <c r="P50" t="s">
        <v>1</v>
      </c>
    </row>
    <row r="51" spans="1:16" x14ac:dyDescent="0.3">
      <c r="B51" t="str">
        <f t="shared" si="1"/>
        <v>". . . . . . . . . . . . ."</v>
      </c>
      <c r="C51" t="s">
        <v>30</v>
      </c>
      <c r="D51" t="s">
        <v>1</v>
      </c>
      <c r="E51" t="s">
        <v>1</v>
      </c>
      <c r="F51" t="s">
        <v>1</v>
      </c>
      <c r="G51" t="s">
        <v>1</v>
      </c>
      <c r="H51" t="s">
        <v>1</v>
      </c>
      <c r="I51" t="s">
        <v>1</v>
      </c>
      <c r="J51" t="s">
        <v>1</v>
      </c>
      <c r="K51" t="s">
        <v>1</v>
      </c>
      <c r="L51" t="s">
        <v>1</v>
      </c>
      <c r="M51" t="s">
        <v>1</v>
      </c>
      <c r="N51" t="s">
        <v>1</v>
      </c>
      <c r="O51" t="s">
        <v>1</v>
      </c>
      <c r="P51" t="s">
        <v>1</v>
      </c>
    </row>
    <row r="52" spans="1:16" x14ac:dyDescent="0.3">
      <c r="A52">
        <v>32</v>
      </c>
      <c r="B52" t="str">
        <f t="shared" si="1"/>
        <v>". . . . . . . . . . . . ."</v>
      </c>
      <c r="C52" t="s">
        <v>30</v>
      </c>
      <c r="D52" t="s">
        <v>1</v>
      </c>
      <c r="E52" t="s">
        <v>1</v>
      </c>
      <c r="F52" t="s">
        <v>1</v>
      </c>
      <c r="G52" t="s">
        <v>1</v>
      </c>
      <c r="H52" t="s">
        <v>1</v>
      </c>
      <c r="I52" t="s">
        <v>1</v>
      </c>
      <c r="J52" t="s">
        <v>1</v>
      </c>
      <c r="K52" t="s">
        <v>1</v>
      </c>
      <c r="L52" t="s">
        <v>1</v>
      </c>
      <c r="M52" t="s">
        <v>1</v>
      </c>
      <c r="N52" t="s">
        <v>1</v>
      </c>
      <c r="O52" t="s">
        <v>1</v>
      </c>
      <c r="P52" t="s">
        <v>1</v>
      </c>
    </row>
    <row r="53" spans="1:16" x14ac:dyDescent="0.3">
      <c r="B53" t="str">
        <f t="shared" si="1"/>
        <v>". . . . . . . . . . . . ."</v>
      </c>
      <c r="C53" t="s">
        <v>30</v>
      </c>
      <c r="D53" t="s">
        <v>1</v>
      </c>
      <c r="E53" t="s">
        <v>1</v>
      </c>
      <c r="F53" t="s">
        <v>1</v>
      </c>
      <c r="G53" t="s">
        <v>1</v>
      </c>
      <c r="H53" t="s">
        <v>1</v>
      </c>
      <c r="I53" t="s">
        <v>1</v>
      </c>
      <c r="J53" t="s">
        <v>1</v>
      </c>
      <c r="K53" t="s">
        <v>1</v>
      </c>
      <c r="L53" t="s">
        <v>1</v>
      </c>
      <c r="M53" t="s">
        <v>1</v>
      </c>
      <c r="N53" t="s">
        <v>1</v>
      </c>
      <c r="O53" t="s">
        <v>1</v>
      </c>
      <c r="P53" t="s">
        <v>1</v>
      </c>
    </row>
    <row r="54" spans="1:16" x14ac:dyDescent="0.3">
      <c r="A54">
        <v>33</v>
      </c>
      <c r="B54" t="str">
        <f t="shared" si="1"/>
        <v>". . . . . . . . . . . . ."</v>
      </c>
      <c r="C54" t="s">
        <v>30</v>
      </c>
      <c r="D54" t="s">
        <v>1</v>
      </c>
      <c r="E54" t="s">
        <v>1</v>
      </c>
      <c r="F54" t="s">
        <v>1</v>
      </c>
      <c r="G54" t="s">
        <v>1</v>
      </c>
      <c r="H54" t="s">
        <v>1</v>
      </c>
      <c r="I54" t="s">
        <v>1</v>
      </c>
      <c r="J54" t="s">
        <v>1</v>
      </c>
      <c r="K54" t="s">
        <v>1</v>
      </c>
      <c r="L54" t="s">
        <v>1</v>
      </c>
      <c r="M54" t="s">
        <v>1</v>
      </c>
      <c r="N54" t="s">
        <v>1</v>
      </c>
      <c r="O54" t="s">
        <v>1</v>
      </c>
      <c r="P54" t="s">
        <v>1</v>
      </c>
    </row>
    <row r="55" spans="1:16" x14ac:dyDescent="0.3">
      <c r="B55" t="str">
        <f t="shared" si="1"/>
        <v>". . . . . . . . . . . . ."</v>
      </c>
      <c r="C55" t="s">
        <v>30</v>
      </c>
      <c r="D55" t="s">
        <v>1</v>
      </c>
      <c r="E55" t="s">
        <v>1</v>
      </c>
      <c r="F55" t="s">
        <v>1</v>
      </c>
      <c r="G55" t="s">
        <v>1</v>
      </c>
      <c r="H55" t="s">
        <v>1</v>
      </c>
      <c r="I55" t="s">
        <v>1</v>
      </c>
      <c r="J55" t="s">
        <v>1</v>
      </c>
      <c r="K55" t="s">
        <v>1</v>
      </c>
      <c r="L55" t="s">
        <v>1</v>
      </c>
      <c r="M55" t="s">
        <v>1</v>
      </c>
      <c r="N55" t="s">
        <v>1</v>
      </c>
      <c r="O55" t="s">
        <v>1</v>
      </c>
      <c r="P55" t="s">
        <v>1</v>
      </c>
    </row>
    <row r="56" spans="1:16" x14ac:dyDescent="0.3">
      <c r="A56">
        <v>34</v>
      </c>
      <c r="B56" t="str">
        <f t="shared" si="1"/>
        <v>"dan-8-23a . . . . . . . . . . . ."</v>
      </c>
      <c r="C56" t="s">
        <v>30</v>
      </c>
      <c r="D56" t="s">
        <v>434</v>
      </c>
      <c r="E56" t="s">
        <v>1</v>
      </c>
      <c r="F56" t="s">
        <v>1</v>
      </c>
      <c r="G56" t="s">
        <v>1</v>
      </c>
      <c r="H56" t="s">
        <v>1</v>
      </c>
      <c r="I56" t="s">
        <v>1</v>
      </c>
      <c r="J56" t="s">
        <v>1</v>
      </c>
      <c r="K56" t="s">
        <v>1</v>
      </c>
      <c r="L56" t="s">
        <v>1</v>
      </c>
      <c r="M56" t="s">
        <v>1</v>
      </c>
      <c r="N56" t="s">
        <v>1</v>
      </c>
      <c r="O56" t="s">
        <v>1</v>
      </c>
      <c r="P56" t="s">
        <v>1</v>
      </c>
    </row>
    <row r="58" spans="1:16" x14ac:dyDescent="0.3">
      <c r="A58">
        <v>35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71BA3-3644-4929-B2D5-A379E8C63A7A}">
  <dimension ref="A1:G58"/>
  <sheetViews>
    <sheetView workbookViewId="0">
      <selection activeCell="B4" sqref="B4:B38"/>
    </sheetView>
  </sheetViews>
  <sheetFormatPr defaultRowHeight="14.4" x14ac:dyDescent="0.3"/>
  <cols>
    <col min="1" max="1" width="5.44140625" customWidth="1"/>
    <col min="4" max="6" width="11.44140625" customWidth="1"/>
    <col min="7" max="7" width="11.109375" bestFit="1" customWidth="1"/>
  </cols>
  <sheetData>
    <row r="1" spans="1:7" x14ac:dyDescent="0.3">
      <c r="B1" t="s">
        <v>132</v>
      </c>
      <c r="C1">
        <f>COUNTA(D8:ZD8)</f>
        <v>4</v>
      </c>
    </row>
    <row r="2" spans="1:7" x14ac:dyDescent="0.3">
      <c r="B2" t="s">
        <v>131</v>
      </c>
      <c r="C2">
        <f>COUNTA(B8:B138)</f>
        <v>31</v>
      </c>
    </row>
    <row r="3" spans="1:7" x14ac:dyDescent="0.3">
      <c r="C3" t="s">
        <v>30</v>
      </c>
    </row>
    <row r="4" spans="1:7" x14ac:dyDescent="0.3">
      <c r="A4">
        <v>8</v>
      </c>
      <c r="B4" t="str">
        <f t="shared" ref="B4:B34" si="0">_xlfn.CONCAT(CHAR(34), _xlfn.TEXTJOIN(" ",TRUE,D4:ZD4),CHAR(34))</f>
        <v>"j-rev-12-5aa rev-12-6 j-rev-12-6 j-rev-12-6"</v>
      </c>
      <c r="C4" t="s">
        <v>30</v>
      </c>
      <c r="D4" t="s">
        <v>335</v>
      </c>
      <c r="E4" t="s">
        <v>334</v>
      </c>
      <c r="F4" t="s">
        <v>333</v>
      </c>
      <c r="G4" t="s">
        <v>333</v>
      </c>
    </row>
    <row r="5" spans="1:7" x14ac:dyDescent="0.3">
      <c r="B5" t="str">
        <f t="shared" si="0"/>
        <v>". . . ."</v>
      </c>
      <c r="C5" t="s">
        <v>30</v>
      </c>
      <c r="D5" t="s">
        <v>1</v>
      </c>
      <c r="E5" t="s">
        <v>1</v>
      </c>
      <c r="F5" t="s">
        <v>1</v>
      </c>
      <c r="G5" t="s">
        <v>1</v>
      </c>
    </row>
    <row r="6" spans="1:7" x14ac:dyDescent="0.3">
      <c r="A6">
        <v>9</v>
      </c>
      <c r="B6" t="str">
        <f t="shared" si="0"/>
        <v>". . . ."</v>
      </c>
      <c r="C6" t="s">
        <v>30</v>
      </c>
      <c r="D6" t="s">
        <v>1</v>
      </c>
      <c r="E6" t="s">
        <v>1</v>
      </c>
      <c r="F6" t="s">
        <v>1</v>
      </c>
      <c r="G6" t="s">
        <v>1</v>
      </c>
    </row>
    <row r="7" spans="1:7" x14ac:dyDescent="0.3">
      <c r="B7" t="str">
        <f t="shared" si="0"/>
        <v>". . . ."</v>
      </c>
      <c r="C7" t="s">
        <v>30</v>
      </c>
      <c r="D7" t="s">
        <v>1</v>
      </c>
      <c r="E7" t="s">
        <v>1</v>
      </c>
      <c r="F7" t="s">
        <v>1</v>
      </c>
      <c r="G7" t="s">
        <v>1</v>
      </c>
    </row>
    <row r="8" spans="1:7" x14ac:dyDescent="0.3">
      <c r="A8">
        <v>10</v>
      </c>
      <c r="B8" t="str">
        <f t="shared" si="0"/>
        <v>". . . ."</v>
      </c>
      <c r="C8" t="s">
        <v>30</v>
      </c>
      <c r="D8" t="s">
        <v>1</v>
      </c>
      <c r="E8" t="s">
        <v>1</v>
      </c>
      <c r="F8" t="s">
        <v>1</v>
      </c>
      <c r="G8" t="s">
        <v>1</v>
      </c>
    </row>
    <row r="9" spans="1:7" x14ac:dyDescent="0.3">
      <c r="B9" t="str">
        <f t="shared" si="0"/>
        <v>". . . ."</v>
      </c>
      <c r="C9" t="s">
        <v>30</v>
      </c>
      <c r="D9" t="s">
        <v>1</v>
      </c>
      <c r="E9" t="s">
        <v>1</v>
      </c>
      <c r="F9" t="s">
        <v>1</v>
      </c>
      <c r="G9" t="s">
        <v>1</v>
      </c>
    </row>
    <row r="10" spans="1:7" x14ac:dyDescent="0.3">
      <c r="A10">
        <v>11</v>
      </c>
      <c r="B10" t="str">
        <f t="shared" si="0"/>
        <v>"j-rev-8-6a j-rev-8-6a rev-8-7 j-rev-8-7"</v>
      </c>
      <c r="C10" t="s">
        <v>30</v>
      </c>
      <c r="D10" t="s">
        <v>332</v>
      </c>
      <c r="E10" t="s">
        <v>332</v>
      </c>
      <c r="F10" t="s">
        <v>331</v>
      </c>
      <c r="G10" t="s">
        <v>330</v>
      </c>
    </row>
    <row r="11" spans="1:7" x14ac:dyDescent="0.3">
      <c r="B11" t="str">
        <f t="shared" si="0"/>
        <v>". . . ."</v>
      </c>
      <c r="C11" t="s">
        <v>30</v>
      </c>
      <c r="D11" t="s">
        <v>1</v>
      </c>
      <c r="E11" t="s">
        <v>1</v>
      </c>
      <c r="F11" t="s">
        <v>1</v>
      </c>
      <c r="G11" t="s">
        <v>1</v>
      </c>
    </row>
    <row r="12" spans="1:7" x14ac:dyDescent="0.3">
      <c r="A12">
        <v>12</v>
      </c>
      <c r="B12" t="str">
        <f t="shared" si="0"/>
        <v>"j-rev-10-5aa rev-10-6a rev-10-6b j-rev-10-6b"</v>
      </c>
      <c r="C12" t="s">
        <v>30</v>
      </c>
      <c r="D12" t="s">
        <v>329</v>
      </c>
      <c r="E12" t="s">
        <v>328</v>
      </c>
      <c r="F12" t="s">
        <v>327</v>
      </c>
      <c r="G12" t="s">
        <v>326</v>
      </c>
    </row>
    <row r="13" spans="1:7" x14ac:dyDescent="0.3">
      <c r="B13" t="str">
        <f t="shared" si="0"/>
        <v>". . . ."</v>
      </c>
      <c r="C13" t="s">
        <v>30</v>
      </c>
      <c r="D13" t="s">
        <v>1</v>
      </c>
      <c r="E13" t="s">
        <v>1</v>
      </c>
      <c r="F13" t="s">
        <v>1</v>
      </c>
      <c r="G13" t="s">
        <v>1</v>
      </c>
    </row>
    <row r="14" spans="1:7" x14ac:dyDescent="0.3">
      <c r="A14">
        <v>13</v>
      </c>
      <c r="B14" t="str">
        <f t="shared" si="0"/>
        <v>"j-rev-14-7aa j-rev-14-7aa rev-14-7b j-rev-14-7b"</v>
      </c>
      <c r="C14" t="s">
        <v>30</v>
      </c>
      <c r="D14" t="s">
        <v>325</v>
      </c>
      <c r="E14" t="s">
        <v>325</v>
      </c>
      <c r="F14" t="s">
        <v>324</v>
      </c>
      <c r="G14" t="s">
        <v>323</v>
      </c>
    </row>
    <row r="15" spans="1:7" x14ac:dyDescent="0.3">
      <c r="B15" t="str">
        <f t="shared" si="0"/>
        <v>". . . ."</v>
      </c>
      <c r="C15" t="s">
        <v>30</v>
      </c>
      <c r="D15" t="s">
        <v>1</v>
      </c>
      <c r="E15" t="s">
        <v>1</v>
      </c>
      <c r="F15" t="s">
        <v>1</v>
      </c>
      <c r="G15" t="s">
        <v>1</v>
      </c>
    </row>
    <row r="16" spans="1:7" x14ac:dyDescent="0.3">
      <c r="A16">
        <v>14</v>
      </c>
      <c r="B16" t="str">
        <f t="shared" si="0"/>
        <v>"j-dan-12-7ba dan-12-7b j-dan-12-7bb j-dan-12-7bb"</v>
      </c>
      <c r="C16" t="s">
        <v>30</v>
      </c>
      <c r="D16" t="s">
        <v>322</v>
      </c>
      <c r="E16" t="s">
        <v>268</v>
      </c>
      <c r="F16" t="s">
        <v>386</v>
      </c>
      <c r="G16" t="s">
        <v>386</v>
      </c>
    </row>
    <row r="17" spans="1:7" x14ac:dyDescent="0.3">
      <c r="B17" t="str">
        <f t="shared" si="0"/>
        <v>". . . ."</v>
      </c>
      <c r="C17" t="s">
        <v>30</v>
      </c>
      <c r="D17" t="s">
        <v>1</v>
      </c>
      <c r="E17" t="s">
        <v>1</v>
      </c>
      <c r="F17" t="s">
        <v>1</v>
      </c>
      <c r="G17" t="s">
        <v>1</v>
      </c>
    </row>
    <row r="18" spans="1:7" x14ac:dyDescent="0.3">
      <c r="A18">
        <v>15</v>
      </c>
      <c r="B18" t="str">
        <f t="shared" si="0"/>
        <v>"rev-11-2b rev-11-3 rev-11-4 rev-11-6a"</v>
      </c>
      <c r="C18" t="s">
        <v>30</v>
      </c>
      <c r="D18" t="s">
        <v>321</v>
      </c>
      <c r="E18" t="s">
        <v>320</v>
      </c>
      <c r="F18" t="s">
        <v>319</v>
      </c>
      <c r="G18" t="s">
        <v>318</v>
      </c>
    </row>
    <row r="19" spans="1:7" x14ac:dyDescent="0.3">
      <c r="B19" t="str">
        <f t="shared" si="0"/>
        <v>". . . ."</v>
      </c>
      <c r="C19" t="s">
        <v>30</v>
      </c>
      <c r="D19" t="s">
        <v>1</v>
      </c>
      <c r="E19" t="s">
        <v>1</v>
      </c>
      <c r="F19" t="s">
        <v>1</v>
      </c>
      <c r="G19" t="s">
        <v>1</v>
      </c>
    </row>
    <row r="20" spans="1:7" x14ac:dyDescent="0.3">
      <c r="A20">
        <v>16</v>
      </c>
      <c r="B20" t="str">
        <f t="shared" si="0"/>
        <v>"rev-13-5b j-rev-13-5b j-rev-13-5b j-rev-13-5b"</v>
      </c>
      <c r="C20" t="s">
        <v>30</v>
      </c>
      <c r="D20" t="s">
        <v>317</v>
      </c>
      <c r="E20" t="s">
        <v>316</v>
      </c>
      <c r="F20" t="s">
        <v>316</v>
      </c>
      <c r="G20" t="s">
        <v>316</v>
      </c>
    </row>
    <row r="21" spans="1:7" x14ac:dyDescent="0.3">
      <c r="B21" t="str">
        <f t="shared" si="0"/>
        <v>". . . ."</v>
      </c>
      <c r="C21" t="s">
        <v>30</v>
      </c>
      <c r="D21" t="s">
        <v>1</v>
      </c>
      <c r="E21" t="s">
        <v>1</v>
      </c>
      <c r="F21" t="s">
        <v>1</v>
      </c>
      <c r="G21" t="s">
        <v>1</v>
      </c>
    </row>
    <row r="22" spans="1:7" x14ac:dyDescent="0.3">
      <c r="A22">
        <v>17</v>
      </c>
      <c r="B22" t="str">
        <f t="shared" si="0"/>
        <v>". j-enoch-80-2a enoch-80-2a enoch-80-2b"</v>
      </c>
      <c r="C22" t="s">
        <v>30</v>
      </c>
      <c r="D22" t="s">
        <v>1</v>
      </c>
      <c r="E22" t="s">
        <v>310</v>
      </c>
      <c r="F22" t="s">
        <v>309</v>
      </c>
      <c r="G22" t="s">
        <v>308</v>
      </c>
    </row>
    <row r="23" spans="1:7" x14ac:dyDescent="0.3">
      <c r="B23" t="str">
        <f t="shared" si="0"/>
        <v>". . . ."</v>
      </c>
      <c r="C23" t="s">
        <v>30</v>
      </c>
      <c r="D23" t="s">
        <v>1</v>
      </c>
      <c r="E23" t="s">
        <v>1</v>
      </c>
      <c r="F23" t="s">
        <v>1</v>
      </c>
      <c r="G23" t="s">
        <v>1</v>
      </c>
    </row>
    <row r="24" spans="1:7" x14ac:dyDescent="0.3">
      <c r="A24">
        <v>18</v>
      </c>
      <c r="B24" t="str">
        <f t="shared" si="0"/>
        <v>". . . ."</v>
      </c>
      <c r="C24" t="s">
        <v>30</v>
      </c>
      <c r="D24" t="s">
        <v>1</v>
      </c>
      <c r="E24" t="s">
        <v>1</v>
      </c>
      <c r="F24" t="s">
        <v>1</v>
      </c>
      <c r="G24" t="s">
        <v>1</v>
      </c>
    </row>
    <row r="25" spans="1:7" x14ac:dyDescent="0.3">
      <c r="B25" t="str">
        <f t="shared" si="0"/>
        <v>". . . ."</v>
      </c>
      <c r="C25" t="s">
        <v>30</v>
      </c>
      <c r="D25" t="s">
        <v>1</v>
      </c>
      <c r="E25" t="s">
        <v>1</v>
      </c>
      <c r="F25" t="s">
        <v>1</v>
      </c>
      <c r="G25" t="s">
        <v>1</v>
      </c>
    </row>
    <row r="26" spans="1:7" x14ac:dyDescent="0.3">
      <c r="A26">
        <v>19</v>
      </c>
      <c r="B26" t="str">
        <f t="shared" si="0"/>
        <v>". . . ."</v>
      </c>
      <c r="C26" t="s">
        <v>30</v>
      </c>
      <c r="D26" t="s">
        <v>1</v>
      </c>
      <c r="E26" t="s">
        <v>1</v>
      </c>
      <c r="F26" t="s">
        <v>1</v>
      </c>
      <c r="G26" t="s">
        <v>1</v>
      </c>
    </row>
    <row r="27" spans="1:7" x14ac:dyDescent="0.3">
      <c r="B27" t="str">
        <f t="shared" si="0"/>
        <v>". . . ."</v>
      </c>
      <c r="C27" t="s">
        <v>30</v>
      </c>
      <c r="D27" t="s">
        <v>1</v>
      </c>
      <c r="E27" t="s">
        <v>1</v>
      </c>
      <c r="F27" t="s">
        <v>1</v>
      </c>
      <c r="G27" t="s">
        <v>1</v>
      </c>
    </row>
    <row r="28" spans="1:7" x14ac:dyDescent="0.3">
      <c r="A28">
        <v>20</v>
      </c>
      <c r="B28" t="str">
        <f t="shared" si="0"/>
        <v>"j-deu-32-21b j-deu-32-21b deu-32-22 deu-32-23"</v>
      </c>
      <c r="C28" t="s">
        <v>30</v>
      </c>
      <c r="D28" t="s">
        <v>448</v>
      </c>
      <c r="E28" t="s">
        <v>448</v>
      </c>
      <c r="F28" t="s">
        <v>449</v>
      </c>
      <c r="G28" t="s">
        <v>450</v>
      </c>
    </row>
    <row r="29" spans="1:7" x14ac:dyDescent="0.3">
      <c r="B29" t="str">
        <f t="shared" si="0"/>
        <v>". . . ."</v>
      </c>
      <c r="C29" t="s">
        <v>30</v>
      </c>
      <c r="D29" t="s">
        <v>1</v>
      </c>
      <c r="E29" t="s">
        <v>1</v>
      </c>
      <c r="F29" t="s">
        <v>1</v>
      </c>
      <c r="G29" t="s">
        <v>1</v>
      </c>
    </row>
    <row r="30" spans="1:7" x14ac:dyDescent="0.3">
      <c r="A30">
        <v>21</v>
      </c>
      <c r="B30" t="str">
        <f t="shared" si="0"/>
        <v>". . . ."</v>
      </c>
      <c r="C30" t="s">
        <v>30</v>
      </c>
      <c r="D30" t="s">
        <v>1</v>
      </c>
      <c r="E30" t="s">
        <v>1</v>
      </c>
      <c r="F30" t="s">
        <v>1</v>
      </c>
      <c r="G30" t="s">
        <v>1</v>
      </c>
    </row>
    <row r="31" spans="1:7" x14ac:dyDescent="0.3">
      <c r="B31" t="str">
        <f t="shared" si="0"/>
        <v>". . . ."</v>
      </c>
      <c r="C31" t="s">
        <v>30</v>
      </c>
      <c r="D31" t="s">
        <v>1</v>
      </c>
      <c r="E31" t="s">
        <v>1</v>
      </c>
      <c r="F31" t="s">
        <v>1</v>
      </c>
      <c r="G31" t="s">
        <v>1</v>
      </c>
    </row>
    <row r="32" spans="1:7" x14ac:dyDescent="0.3">
      <c r="A32">
        <v>22</v>
      </c>
      <c r="B32" t="str">
        <f t="shared" si="0"/>
        <v>"j-es2-15-11aa es2-15-11b es2-15-13a j-es2-15-13a"</v>
      </c>
      <c r="C32" t="s">
        <v>30</v>
      </c>
      <c r="D32" t="s">
        <v>255</v>
      </c>
      <c r="E32" t="s">
        <v>254</v>
      </c>
      <c r="F32" t="s">
        <v>315</v>
      </c>
      <c r="G32" t="s">
        <v>314</v>
      </c>
    </row>
    <row r="33" spans="1:7" x14ac:dyDescent="0.3">
      <c r="B33" t="str">
        <f t="shared" si="0"/>
        <v>". . . ."</v>
      </c>
      <c r="C33" t="s">
        <v>30</v>
      </c>
      <c r="D33" t="s">
        <v>1</v>
      </c>
      <c r="E33" t="s">
        <v>1</v>
      </c>
      <c r="F33" t="s">
        <v>1</v>
      </c>
      <c r="G33" t="s">
        <v>1</v>
      </c>
    </row>
    <row r="34" spans="1:7" x14ac:dyDescent="0.3">
      <c r="A34">
        <v>23</v>
      </c>
      <c r="B34" t="str">
        <f t="shared" si="0"/>
        <v>"j-es2-5-2a j-es2-5-2a es2-5-3 j-es2-5-3"</v>
      </c>
      <c r="C34" t="s">
        <v>30</v>
      </c>
      <c r="D34" t="s">
        <v>313</v>
      </c>
      <c r="E34" t="s">
        <v>313</v>
      </c>
      <c r="F34" t="s">
        <v>312</v>
      </c>
      <c r="G34" t="s">
        <v>311</v>
      </c>
    </row>
    <row r="35" spans="1:7" x14ac:dyDescent="0.3">
      <c r="B35" t="str">
        <f t="shared" ref="B35:B38" si="1">_xlfn.CONCAT(CHAR(34), _xlfn.TEXTJOIN(" ",TRUE,D35:ZD35),CHAR(34))</f>
        <v>". . . ."</v>
      </c>
      <c r="C35" t="s">
        <v>30</v>
      </c>
      <c r="D35" t="s">
        <v>1</v>
      </c>
      <c r="E35" t="s">
        <v>1</v>
      </c>
      <c r="F35" t="s">
        <v>1</v>
      </c>
      <c r="G35" t="s">
        <v>1</v>
      </c>
    </row>
    <row r="36" spans="1:7" x14ac:dyDescent="0.3">
      <c r="A36">
        <v>24</v>
      </c>
      <c r="B36" t="str">
        <f t="shared" si="1"/>
        <v>". . . ."</v>
      </c>
      <c r="C36" t="s">
        <v>30</v>
      </c>
      <c r="D36" t="s">
        <v>1</v>
      </c>
      <c r="E36" t="s">
        <v>1</v>
      </c>
      <c r="F36" t="s">
        <v>1</v>
      </c>
      <c r="G36" t="s">
        <v>1</v>
      </c>
    </row>
    <row r="37" spans="1:7" x14ac:dyDescent="0.3">
      <c r="B37" t="str">
        <f t="shared" si="1"/>
        <v>". . . ."</v>
      </c>
      <c r="C37" t="s">
        <v>30</v>
      </c>
      <c r="D37" t="s">
        <v>1</v>
      </c>
      <c r="E37" t="s">
        <v>1</v>
      </c>
      <c r="F37" t="s">
        <v>1</v>
      </c>
      <c r="G37" t="s">
        <v>1</v>
      </c>
    </row>
    <row r="38" spans="1:7" x14ac:dyDescent="0.3">
      <c r="A38">
        <v>25</v>
      </c>
      <c r="B38" t="str">
        <f t="shared" si="1"/>
        <v>"j-es2-16-13b es2-16-14 es2-16-15 es2-16-16a"</v>
      </c>
      <c r="C38" t="s">
        <v>30</v>
      </c>
      <c r="D38" t="s">
        <v>455</v>
      </c>
      <c r="E38" t="s">
        <v>456</v>
      </c>
      <c r="F38" t="s">
        <v>457</v>
      </c>
      <c r="G38" t="s">
        <v>458</v>
      </c>
    </row>
    <row r="40" spans="1:7" x14ac:dyDescent="0.3">
      <c r="A40">
        <v>26</v>
      </c>
    </row>
    <row r="42" spans="1:7" x14ac:dyDescent="0.3">
      <c r="A42">
        <v>27</v>
      </c>
    </row>
    <row r="44" spans="1:7" x14ac:dyDescent="0.3">
      <c r="A44">
        <v>28</v>
      </c>
    </row>
    <row r="46" spans="1:7" x14ac:dyDescent="0.3">
      <c r="A46">
        <v>29</v>
      </c>
    </row>
    <row r="48" spans="1:7" x14ac:dyDescent="0.3">
      <c r="A48">
        <v>30</v>
      </c>
    </row>
    <row r="50" spans="1:1" x14ac:dyDescent="0.3">
      <c r="A50">
        <v>31</v>
      </c>
    </row>
    <row r="52" spans="1:1" x14ac:dyDescent="0.3">
      <c r="A52">
        <v>32</v>
      </c>
    </row>
    <row r="54" spans="1:1" x14ac:dyDescent="0.3">
      <c r="A54">
        <v>33</v>
      </c>
    </row>
    <row r="56" spans="1:1" x14ac:dyDescent="0.3">
      <c r="A56">
        <v>34</v>
      </c>
    </row>
    <row r="58" spans="1:1" x14ac:dyDescent="0.3">
      <c r="A58">
        <v>35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0A7C8-4095-47AC-B541-BC6C89C3AC0E}">
  <dimension ref="A1:G58"/>
  <sheetViews>
    <sheetView workbookViewId="0">
      <selection activeCell="G36" sqref="G36"/>
    </sheetView>
  </sheetViews>
  <sheetFormatPr defaultRowHeight="14.4" x14ac:dyDescent="0.3"/>
  <cols>
    <col min="1" max="1" width="5.44140625" customWidth="1"/>
    <col min="4" max="6" width="11.44140625" customWidth="1"/>
    <col min="7" max="7" width="11.109375" bestFit="1" customWidth="1"/>
  </cols>
  <sheetData>
    <row r="1" spans="1:7" x14ac:dyDescent="0.3">
      <c r="B1" t="s">
        <v>132</v>
      </c>
      <c r="C1">
        <f>COUNTA(D8:ZD8)</f>
        <v>4</v>
      </c>
    </row>
    <row r="2" spans="1:7" x14ac:dyDescent="0.3">
      <c r="B2" t="s">
        <v>131</v>
      </c>
      <c r="C2">
        <f>COUNTA(B8:B138)</f>
        <v>33</v>
      </c>
    </row>
    <row r="3" spans="1:7" x14ac:dyDescent="0.3">
      <c r="C3" t="s">
        <v>30</v>
      </c>
    </row>
    <row r="4" spans="1:7" x14ac:dyDescent="0.3">
      <c r="A4">
        <v>8</v>
      </c>
      <c r="B4" t="str">
        <f t="shared" ref="B4:B38" si="0">_xlfn.CONCAT(CHAR(34), _xlfn.TEXTJOIN(" ",TRUE,D4:ZD4),CHAR(34))</f>
        <v>". . . ."</v>
      </c>
      <c r="C4" t="s">
        <v>30</v>
      </c>
      <c r="D4" t="s">
        <v>1</v>
      </c>
      <c r="E4" t="s">
        <v>1</v>
      </c>
      <c r="F4" t="s">
        <v>1</v>
      </c>
      <c r="G4" t="s">
        <v>1</v>
      </c>
    </row>
    <row r="5" spans="1:7" x14ac:dyDescent="0.3">
      <c r="B5" t="str">
        <f t="shared" si="0"/>
        <v>". . . ."</v>
      </c>
      <c r="C5" t="s">
        <v>30</v>
      </c>
      <c r="D5" t="s">
        <v>1</v>
      </c>
      <c r="E5" t="s">
        <v>1</v>
      </c>
      <c r="F5" t="s">
        <v>1</v>
      </c>
      <c r="G5" t="s">
        <v>1</v>
      </c>
    </row>
    <row r="6" spans="1:7" x14ac:dyDescent="0.3">
      <c r="A6">
        <v>9</v>
      </c>
      <c r="B6" t="str">
        <f t="shared" si="0"/>
        <v>". . . ."</v>
      </c>
      <c r="C6" t="s">
        <v>30</v>
      </c>
      <c r="D6" t="s">
        <v>1</v>
      </c>
      <c r="E6" t="s">
        <v>1</v>
      </c>
      <c r="F6" t="s">
        <v>1</v>
      </c>
      <c r="G6" t="s">
        <v>1</v>
      </c>
    </row>
    <row r="7" spans="1:7" x14ac:dyDescent="0.3">
      <c r="B7" t="str">
        <f t="shared" si="0"/>
        <v>". . . ."</v>
      </c>
      <c r="C7" t="s">
        <v>30</v>
      </c>
      <c r="D7" t="s">
        <v>1</v>
      </c>
      <c r="E7" t="s">
        <v>1</v>
      </c>
      <c r="F7" t="s">
        <v>1</v>
      </c>
      <c r="G7" t="s">
        <v>1</v>
      </c>
    </row>
    <row r="8" spans="1:7" x14ac:dyDescent="0.3">
      <c r="A8">
        <v>10</v>
      </c>
      <c r="B8" t="str">
        <f t="shared" si="0"/>
        <v>". . . ."</v>
      </c>
      <c r="C8" t="s">
        <v>30</v>
      </c>
      <c r="D8" t="s">
        <v>1</v>
      </c>
      <c r="E8" t="s">
        <v>1</v>
      </c>
      <c r="F8" t="s">
        <v>1</v>
      </c>
      <c r="G8" t="s">
        <v>1</v>
      </c>
    </row>
    <row r="9" spans="1:7" x14ac:dyDescent="0.3">
      <c r="B9" t="str">
        <f t="shared" si="0"/>
        <v>". . . ."</v>
      </c>
      <c r="C9" t="s">
        <v>30</v>
      </c>
      <c r="D9" t="s">
        <v>1</v>
      </c>
      <c r="E9" t="s">
        <v>1</v>
      </c>
      <c r="F9" t="s">
        <v>1</v>
      </c>
      <c r="G9" t="s">
        <v>1</v>
      </c>
    </row>
    <row r="10" spans="1:7" x14ac:dyDescent="0.3">
      <c r="A10">
        <v>11</v>
      </c>
      <c r="B10" t="str">
        <f t="shared" si="0"/>
        <v>"rev-8-8 j-rev-8-8 j-rev-8-8 j-rev-8-8"</v>
      </c>
      <c r="C10" t="s">
        <v>30</v>
      </c>
      <c r="D10" t="s">
        <v>356</v>
      </c>
      <c r="E10" t="s">
        <v>355</v>
      </c>
      <c r="F10" t="s">
        <v>355</v>
      </c>
      <c r="G10" t="s">
        <v>355</v>
      </c>
    </row>
    <row r="11" spans="1:7" x14ac:dyDescent="0.3">
      <c r="B11" t="str">
        <f t="shared" si="0"/>
        <v>". . . ."</v>
      </c>
      <c r="C11" t="s">
        <v>30</v>
      </c>
      <c r="D11" t="s">
        <v>1</v>
      </c>
      <c r="E11" t="s">
        <v>1</v>
      </c>
      <c r="F11" t="s">
        <v>1</v>
      </c>
      <c r="G11" t="s">
        <v>1</v>
      </c>
    </row>
    <row r="12" spans="1:7" x14ac:dyDescent="0.3">
      <c r="A12">
        <v>12</v>
      </c>
      <c r="B12" t="str">
        <f t="shared" si="0"/>
        <v>"rev-10-6b j-rev-10-6b rev-10-6c j-rev-10-6c"</v>
      </c>
      <c r="C12" t="s">
        <v>30</v>
      </c>
      <c r="D12" t="s">
        <v>327</v>
      </c>
      <c r="E12" t="s">
        <v>326</v>
      </c>
      <c r="F12" t="s">
        <v>354</v>
      </c>
      <c r="G12" t="s">
        <v>353</v>
      </c>
    </row>
    <row r="13" spans="1:7" x14ac:dyDescent="0.3">
      <c r="B13" t="str">
        <f t="shared" si="0"/>
        <v>". . . ."</v>
      </c>
      <c r="C13" t="s">
        <v>30</v>
      </c>
      <c r="D13" t="s">
        <v>1</v>
      </c>
      <c r="E13" t="s">
        <v>1</v>
      </c>
      <c r="F13" t="s">
        <v>1</v>
      </c>
      <c r="G13" t="s">
        <v>1</v>
      </c>
    </row>
    <row r="14" spans="1:7" x14ac:dyDescent="0.3">
      <c r="A14">
        <v>13</v>
      </c>
      <c r="B14" t="str">
        <f t="shared" si="0"/>
        <v>"rev-14-7c j-rev-14-7c j-rev-14-7c j-rev-14-7c"</v>
      </c>
      <c r="C14" t="s">
        <v>30</v>
      </c>
      <c r="D14" t="s">
        <v>352</v>
      </c>
      <c r="E14" t="s">
        <v>351</v>
      </c>
      <c r="F14" t="s">
        <v>351</v>
      </c>
      <c r="G14" t="s">
        <v>351</v>
      </c>
    </row>
    <row r="15" spans="1:7" x14ac:dyDescent="0.3">
      <c r="B15" t="str">
        <f t="shared" si="0"/>
        <v>". . . ."</v>
      </c>
      <c r="C15" t="s">
        <v>30</v>
      </c>
      <c r="D15" t="s">
        <v>1</v>
      </c>
      <c r="E15" t="s">
        <v>1</v>
      </c>
      <c r="F15" t="s">
        <v>1</v>
      </c>
      <c r="G15" t="s">
        <v>1</v>
      </c>
    </row>
    <row r="16" spans="1:7" x14ac:dyDescent="0.3">
      <c r="A16">
        <v>14</v>
      </c>
      <c r="B16" t="str">
        <f t="shared" si="0"/>
        <v>"j-dan-12-7bc j-dan-12-7bc dan-12-8 j-dan-12-9"</v>
      </c>
      <c r="C16" t="s">
        <v>30</v>
      </c>
      <c r="D16" t="s">
        <v>388</v>
      </c>
      <c r="E16" t="s">
        <v>388</v>
      </c>
      <c r="F16" t="s">
        <v>390</v>
      </c>
      <c r="G16" t="s">
        <v>389</v>
      </c>
    </row>
    <row r="17" spans="1:7" x14ac:dyDescent="0.3">
      <c r="B17" t="str">
        <f t="shared" si="0"/>
        <v>". . . ."</v>
      </c>
      <c r="C17" t="s">
        <v>30</v>
      </c>
      <c r="D17" t="s">
        <v>1</v>
      </c>
      <c r="E17" t="s">
        <v>1</v>
      </c>
      <c r="F17" t="s">
        <v>1</v>
      </c>
      <c r="G17" t="s">
        <v>1</v>
      </c>
    </row>
    <row r="18" spans="1:7" x14ac:dyDescent="0.3">
      <c r="A18">
        <v>15</v>
      </c>
      <c r="B18" t="str">
        <f t="shared" si="0"/>
        <v>"rev-11-6b rev-11-6c j-rev-11-6c j-rev-11-6c"</v>
      </c>
      <c r="C18" t="s">
        <v>30</v>
      </c>
      <c r="D18" t="s">
        <v>347</v>
      </c>
      <c r="E18" t="s">
        <v>346</v>
      </c>
      <c r="F18" t="s">
        <v>345</v>
      </c>
      <c r="G18" t="s">
        <v>345</v>
      </c>
    </row>
    <row r="19" spans="1:7" x14ac:dyDescent="0.3">
      <c r="B19" t="str">
        <f t="shared" si="0"/>
        <v>". . . ."</v>
      </c>
      <c r="C19" t="s">
        <v>30</v>
      </c>
      <c r="D19" t="s">
        <v>1</v>
      </c>
      <c r="E19" t="s">
        <v>1</v>
      </c>
      <c r="F19" t="s">
        <v>1</v>
      </c>
      <c r="G19" t="s">
        <v>1</v>
      </c>
    </row>
    <row r="20" spans="1:7" x14ac:dyDescent="0.3">
      <c r="A20">
        <v>16</v>
      </c>
      <c r="B20" t="str">
        <f t="shared" si="0"/>
        <v>". j-gad-2-26a gad-2-26a j-gad-2-26ab"</v>
      </c>
      <c r="C20" t="s">
        <v>30</v>
      </c>
      <c r="D20" t="s">
        <v>1</v>
      </c>
      <c r="E20" t="s">
        <v>350</v>
      </c>
      <c r="F20" t="s">
        <v>349</v>
      </c>
      <c r="G20" t="s">
        <v>481</v>
      </c>
    </row>
    <row r="21" spans="1:7" x14ac:dyDescent="0.3">
      <c r="B21" t="str">
        <f t="shared" si="0"/>
        <v>". . . ."</v>
      </c>
      <c r="C21" t="s">
        <v>30</v>
      </c>
      <c r="D21" t="s">
        <v>1</v>
      </c>
      <c r="E21" t="s">
        <v>1</v>
      </c>
      <c r="F21" t="s">
        <v>1</v>
      </c>
      <c r="G21" t="s">
        <v>1</v>
      </c>
    </row>
    <row r="22" spans="1:7" x14ac:dyDescent="0.3">
      <c r="A22">
        <v>17</v>
      </c>
      <c r="B22" t="str">
        <f t="shared" si="0"/>
        <v>"j-enoch-80-2b j-enoch-80-2b enoch-80-3 j-enoch-80-3"</v>
      </c>
      <c r="C22" t="s">
        <v>30</v>
      </c>
      <c r="D22" t="s">
        <v>338</v>
      </c>
      <c r="E22" t="s">
        <v>338</v>
      </c>
      <c r="F22" t="s">
        <v>337</v>
      </c>
      <c r="G22" t="s">
        <v>336</v>
      </c>
    </row>
    <row r="23" spans="1:7" x14ac:dyDescent="0.3">
      <c r="B23" t="str">
        <f t="shared" si="0"/>
        <v>". . . ."</v>
      </c>
      <c r="C23" t="s">
        <v>30</v>
      </c>
      <c r="D23" t="s">
        <v>1</v>
      </c>
      <c r="E23" t="s">
        <v>1</v>
      </c>
      <c r="F23" t="s">
        <v>1</v>
      </c>
      <c r="G23" t="s">
        <v>1</v>
      </c>
    </row>
    <row r="24" spans="1:7" x14ac:dyDescent="0.3">
      <c r="A24">
        <v>18</v>
      </c>
      <c r="B24" t="str">
        <f t="shared" si="0"/>
        <v>". . . ."</v>
      </c>
      <c r="C24" t="s">
        <v>30</v>
      </c>
      <c r="D24" t="s">
        <v>1</v>
      </c>
      <c r="E24" t="s">
        <v>1</v>
      </c>
      <c r="F24" t="s">
        <v>1</v>
      </c>
      <c r="G24" t="s">
        <v>1</v>
      </c>
    </row>
    <row r="25" spans="1:7" x14ac:dyDescent="0.3">
      <c r="B25" t="str">
        <f t="shared" si="0"/>
        <v>". . . ."</v>
      </c>
      <c r="C25" t="s">
        <v>30</v>
      </c>
      <c r="D25" t="s">
        <v>1</v>
      </c>
      <c r="E25" t="s">
        <v>1</v>
      </c>
      <c r="F25" t="s">
        <v>1</v>
      </c>
      <c r="G25" t="s">
        <v>1</v>
      </c>
    </row>
    <row r="26" spans="1:7" x14ac:dyDescent="0.3">
      <c r="A26">
        <v>19</v>
      </c>
      <c r="B26" t="str">
        <f t="shared" si="0"/>
        <v>"j-ba2-30-2ca j-ba2-30-2ca ba2-30-3 j-ba2-30-3"</v>
      </c>
      <c r="C26" t="s">
        <v>30</v>
      </c>
      <c r="D26" t="s">
        <v>344</v>
      </c>
      <c r="E26" t="s">
        <v>344</v>
      </c>
      <c r="F26" t="s">
        <v>343</v>
      </c>
      <c r="G26" t="s">
        <v>342</v>
      </c>
    </row>
    <row r="27" spans="1:7" x14ac:dyDescent="0.3">
      <c r="B27" t="str">
        <f t="shared" si="0"/>
        <v>". . . ."</v>
      </c>
      <c r="C27" t="s">
        <v>30</v>
      </c>
      <c r="D27" t="s">
        <v>1</v>
      </c>
      <c r="E27" t="s">
        <v>1</v>
      </c>
      <c r="F27" t="s">
        <v>1</v>
      </c>
      <c r="G27" t="s">
        <v>1</v>
      </c>
    </row>
    <row r="28" spans="1:7" x14ac:dyDescent="0.3">
      <c r="A28">
        <v>20</v>
      </c>
      <c r="B28" t="str">
        <f t="shared" si="0"/>
        <v>". . ascisa-4-1 j-ascisa-4-1"</v>
      </c>
      <c r="C28" t="s">
        <v>30</v>
      </c>
      <c r="D28" t="s">
        <v>1</v>
      </c>
      <c r="E28" t="s">
        <v>1</v>
      </c>
      <c r="F28" t="s">
        <v>341</v>
      </c>
      <c r="G28" t="s">
        <v>340</v>
      </c>
    </row>
    <row r="29" spans="1:7" x14ac:dyDescent="0.3">
      <c r="B29" t="str">
        <f t="shared" si="0"/>
        <v>". . . ."</v>
      </c>
      <c r="C29" t="s">
        <v>30</v>
      </c>
      <c r="D29" t="s">
        <v>1</v>
      </c>
      <c r="E29" t="s">
        <v>1</v>
      </c>
      <c r="F29" t="s">
        <v>1</v>
      </c>
      <c r="G29" t="s">
        <v>1</v>
      </c>
    </row>
    <row r="30" spans="1:7" x14ac:dyDescent="0.3">
      <c r="A30">
        <v>21</v>
      </c>
      <c r="B30" t="str">
        <f t="shared" si="0"/>
        <v>". . . ."</v>
      </c>
      <c r="C30" t="s">
        <v>30</v>
      </c>
      <c r="D30" t="s">
        <v>1</v>
      </c>
      <c r="E30" t="s">
        <v>1</v>
      </c>
      <c r="F30" t="s">
        <v>1</v>
      </c>
      <c r="G30" t="s">
        <v>1</v>
      </c>
    </row>
    <row r="31" spans="1:7" x14ac:dyDescent="0.3">
      <c r="B31" t="str">
        <f t="shared" si="0"/>
        <v>". . . ."</v>
      </c>
      <c r="C31" t="s">
        <v>30</v>
      </c>
      <c r="D31" t="s">
        <v>1</v>
      </c>
      <c r="E31" t="s">
        <v>1</v>
      </c>
      <c r="F31" t="s">
        <v>1</v>
      </c>
      <c r="G31" t="s">
        <v>1</v>
      </c>
    </row>
    <row r="32" spans="1:7" x14ac:dyDescent="0.3">
      <c r="A32">
        <v>22</v>
      </c>
      <c r="B32" t="str">
        <f t="shared" si="0"/>
        <v>". . . ."</v>
      </c>
      <c r="C32" t="s">
        <v>30</v>
      </c>
      <c r="D32" t="s">
        <v>1</v>
      </c>
      <c r="E32" t="s">
        <v>1</v>
      </c>
      <c r="F32" t="s">
        <v>1</v>
      </c>
      <c r="G32" t="s">
        <v>1</v>
      </c>
    </row>
    <row r="33" spans="1:7" x14ac:dyDescent="0.3">
      <c r="B33" t="str">
        <f t="shared" si="0"/>
        <v>". . . ."</v>
      </c>
      <c r="C33" t="s">
        <v>30</v>
      </c>
      <c r="D33" t="s">
        <v>1</v>
      </c>
      <c r="E33" t="s">
        <v>1</v>
      </c>
      <c r="F33" t="s">
        <v>1</v>
      </c>
      <c r="G33" t="s">
        <v>1</v>
      </c>
    </row>
    <row r="34" spans="1:7" x14ac:dyDescent="0.3">
      <c r="A34">
        <v>23</v>
      </c>
      <c r="B34" t="str">
        <f t="shared" si="0"/>
        <v>". . . ."</v>
      </c>
      <c r="C34" t="s">
        <v>30</v>
      </c>
      <c r="D34" t="s">
        <v>1</v>
      </c>
      <c r="E34" t="s">
        <v>1</v>
      </c>
      <c r="F34" t="s">
        <v>1</v>
      </c>
      <c r="G34" t="s">
        <v>1</v>
      </c>
    </row>
    <row r="35" spans="1:7" x14ac:dyDescent="0.3">
      <c r="B35" t="str">
        <f t="shared" si="0"/>
        <v>". . . ."</v>
      </c>
      <c r="C35" t="s">
        <v>30</v>
      </c>
      <c r="D35" t="s">
        <v>1</v>
      </c>
      <c r="E35" t="s">
        <v>1</v>
      </c>
      <c r="F35" t="s">
        <v>1</v>
      </c>
      <c r="G35" t="s">
        <v>1</v>
      </c>
    </row>
    <row r="36" spans="1:7" x14ac:dyDescent="0.3">
      <c r="A36">
        <v>24</v>
      </c>
      <c r="B36" t="str">
        <f t="shared" si="0"/>
        <v>". j-ba2-48-31a-s ba2-48-31a j-ba2-48-31a"</v>
      </c>
      <c r="C36" t="s">
        <v>30</v>
      </c>
      <c r="D36" t="s">
        <v>1</v>
      </c>
      <c r="E36" t="s">
        <v>482</v>
      </c>
      <c r="F36" t="s">
        <v>483</v>
      </c>
      <c r="G36" t="s">
        <v>484</v>
      </c>
    </row>
    <row r="37" spans="1:7" x14ac:dyDescent="0.3">
      <c r="B37" t="str">
        <f t="shared" si="0"/>
        <v>". . . ."</v>
      </c>
      <c r="C37" t="s">
        <v>30</v>
      </c>
      <c r="D37" t="s">
        <v>1</v>
      </c>
      <c r="E37" t="s">
        <v>1</v>
      </c>
      <c r="F37" t="s">
        <v>1</v>
      </c>
      <c r="G37" t="s">
        <v>1</v>
      </c>
    </row>
    <row r="38" spans="1:7" x14ac:dyDescent="0.3">
      <c r="A38">
        <v>25</v>
      </c>
      <c r="B38" t="str">
        <f t="shared" si="0"/>
        <v>"j-es2-16-12ba es2-16-16b j-es2-16-12bb j-es2-16-12bb"</v>
      </c>
      <c r="C38" t="s">
        <v>30</v>
      </c>
      <c r="D38" t="s">
        <v>459</v>
      </c>
      <c r="E38" t="s">
        <v>460</v>
      </c>
      <c r="F38" t="s">
        <v>461</v>
      </c>
      <c r="G38" t="s">
        <v>461</v>
      </c>
    </row>
    <row r="39" spans="1:7" x14ac:dyDescent="0.3">
      <c r="B39" t="str">
        <f t="shared" ref="B39:B40" si="1">_xlfn.CONCAT(CHAR(34), _xlfn.TEXTJOIN(" ",TRUE,D39:ZD39),CHAR(34))</f>
        <v>". . . ."</v>
      </c>
      <c r="C39" t="s">
        <v>30</v>
      </c>
      <c r="D39" t="s">
        <v>1</v>
      </c>
      <c r="E39" t="s">
        <v>1</v>
      </c>
      <c r="F39" t="s">
        <v>1</v>
      </c>
      <c r="G39" t="s">
        <v>1</v>
      </c>
    </row>
    <row r="40" spans="1:7" x14ac:dyDescent="0.3">
      <c r="A40">
        <v>26</v>
      </c>
      <c r="B40" t="str">
        <f t="shared" si="1"/>
        <v>". j-ba2-70-2a-s ba2-70-2a j-ba2-70-2a"</v>
      </c>
      <c r="C40" t="s">
        <v>30</v>
      </c>
      <c r="D40" t="s">
        <v>1</v>
      </c>
      <c r="E40" t="s">
        <v>485</v>
      </c>
      <c r="F40" t="s">
        <v>486</v>
      </c>
      <c r="G40" t="s">
        <v>487</v>
      </c>
    </row>
    <row r="42" spans="1:7" x14ac:dyDescent="0.3">
      <c r="A42">
        <v>27</v>
      </c>
    </row>
    <row r="44" spans="1:7" x14ac:dyDescent="0.3">
      <c r="A44">
        <v>28</v>
      </c>
    </row>
    <row r="46" spans="1:7" x14ac:dyDescent="0.3">
      <c r="A46">
        <v>29</v>
      </c>
    </row>
    <row r="48" spans="1:7" x14ac:dyDescent="0.3">
      <c r="A48">
        <v>30</v>
      </c>
    </row>
    <row r="50" spans="1:1" x14ac:dyDescent="0.3">
      <c r="A50">
        <v>31</v>
      </c>
    </row>
    <row r="52" spans="1:1" x14ac:dyDescent="0.3">
      <c r="A52">
        <v>32</v>
      </c>
    </row>
    <row r="54" spans="1:1" x14ac:dyDescent="0.3">
      <c r="A54">
        <v>33</v>
      </c>
    </row>
    <row r="56" spans="1:1" x14ac:dyDescent="0.3">
      <c r="A56">
        <v>34</v>
      </c>
    </row>
    <row r="58" spans="1:1" x14ac:dyDescent="0.3">
      <c r="A58">
        <v>35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DEB45-F650-47EC-B588-284B892C9CFC}">
  <dimension ref="A1:L58"/>
  <sheetViews>
    <sheetView workbookViewId="0">
      <selection activeCell="L6" sqref="L6"/>
    </sheetView>
  </sheetViews>
  <sheetFormatPr defaultRowHeight="14.4" x14ac:dyDescent="0.3"/>
  <cols>
    <col min="1" max="1" width="5.44140625" customWidth="1"/>
    <col min="4" max="6" width="11.44140625" customWidth="1"/>
    <col min="7" max="7" width="11.109375" bestFit="1" customWidth="1"/>
  </cols>
  <sheetData>
    <row r="1" spans="1:12" x14ac:dyDescent="0.3">
      <c r="B1" t="s">
        <v>132</v>
      </c>
      <c r="C1">
        <f>COUNTA(D8:ZD8)</f>
        <v>9</v>
      </c>
    </row>
    <row r="2" spans="1:12" x14ac:dyDescent="0.3">
      <c r="B2" t="s">
        <v>131</v>
      </c>
      <c r="C2">
        <f>COUNTA(B8:B138)</f>
        <v>33</v>
      </c>
    </row>
    <row r="3" spans="1:12" x14ac:dyDescent="0.3">
      <c r="C3" t="s">
        <v>30</v>
      </c>
    </row>
    <row r="4" spans="1:12" x14ac:dyDescent="0.3">
      <c r="A4">
        <v>8</v>
      </c>
      <c r="B4" t="str">
        <f>_xlfn.CONCAT(CHAR(34), _xlfn.TEXTJOIN(" ",TRUE,D4:ZD4),CHAR(34))</f>
        <v>"j-rev-12-7-s rev-12-7 j-rev-12-7 rev-12-9 j-rev-12-9 j-rev-12-9 j-rev-12-9 j-rev-12-9 j-rev-12-9"</v>
      </c>
      <c r="C4" t="s">
        <v>30</v>
      </c>
      <c r="D4" t="s">
        <v>507</v>
      </c>
      <c r="E4" t="s">
        <v>492</v>
      </c>
      <c r="F4" t="s">
        <v>506</v>
      </c>
      <c r="G4" t="s">
        <v>493</v>
      </c>
      <c r="H4" t="s">
        <v>494</v>
      </c>
      <c r="I4" t="s">
        <v>494</v>
      </c>
      <c r="J4" t="s">
        <v>494</v>
      </c>
      <c r="K4" t="s">
        <v>494</v>
      </c>
      <c r="L4" t="s">
        <v>494</v>
      </c>
    </row>
    <row r="5" spans="1:12" x14ac:dyDescent="0.3">
      <c r="B5" t="str">
        <f t="shared" ref="B5:B38" si="0">_xlfn.CONCAT(CHAR(34), _xlfn.TEXTJOIN(" ",TRUE,D5:ZD5),CHAR(34))</f>
        <v>". . . . . . . . ."</v>
      </c>
      <c r="C5" t="s">
        <v>30</v>
      </c>
      <c r="D5" t="s">
        <v>1</v>
      </c>
      <c r="E5" t="s">
        <v>1</v>
      </c>
      <c r="F5" t="s">
        <v>1</v>
      </c>
      <c r="G5" t="s">
        <v>1</v>
      </c>
      <c r="H5" t="s">
        <v>1</v>
      </c>
      <c r="I5" t="s">
        <v>1</v>
      </c>
      <c r="J5" t="s">
        <v>1</v>
      </c>
      <c r="K5" t="s">
        <v>1</v>
      </c>
      <c r="L5" t="s">
        <v>1</v>
      </c>
    </row>
    <row r="6" spans="1:12" x14ac:dyDescent="0.3">
      <c r="A6">
        <v>9</v>
      </c>
      <c r="B6" t="str">
        <f t="shared" si="0"/>
        <v>"j-isa-21-8-s isa-21-8 isa-21-9a j-isa-21-9a j-isa-21-9a j-isa-21-9a isa-21-9b j-isa-21-9b isa-21-10"</v>
      </c>
      <c r="C6" t="s">
        <v>30</v>
      </c>
      <c r="D6" t="s">
        <v>508</v>
      </c>
      <c r="E6" t="s">
        <v>495</v>
      </c>
      <c r="F6" t="s">
        <v>496</v>
      </c>
      <c r="G6" t="s">
        <v>497</v>
      </c>
      <c r="H6" t="s">
        <v>497</v>
      </c>
      <c r="I6" t="s">
        <v>497</v>
      </c>
      <c r="J6" t="s">
        <v>498</v>
      </c>
      <c r="K6" t="s">
        <v>499</v>
      </c>
      <c r="L6" t="s">
        <v>500</v>
      </c>
    </row>
    <row r="7" spans="1:12" x14ac:dyDescent="0.3">
      <c r="B7" t="str">
        <f t="shared" si="0"/>
        <v>". . . . . . . . ."</v>
      </c>
      <c r="C7" t="s">
        <v>30</v>
      </c>
      <c r="D7" t="s">
        <v>1</v>
      </c>
      <c r="E7" t="s">
        <v>1</v>
      </c>
      <c r="F7" t="s">
        <v>1</v>
      </c>
      <c r="G7" t="s">
        <v>1</v>
      </c>
      <c r="H7" t="s">
        <v>1</v>
      </c>
      <c r="I7" t="s">
        <v>1</v>
      </c>
      <c r="J7" t="s">
        <v>1</v>
      </c>
      <c r="K7" t="s">
        <v>1</v>
      </c>
      <c r="L7" t="s">
        <v>1</v>
      </c>
    </row>
    <row r="8" spans="1:12" x14ac:dyDescent="0.3">
      <c r="A8">
        <v>10</v>
      </c>
      <c r="B8" t="str">
        <f t="shared" si="0"/>
        <v>". . . . . . . . ."</v>
      </c>
      <c r="C8" t="s">
        <v>30</v>
      </c>
      <c r="D8" t="s">
        <v>1</v>
      </c>
      <c r="E8" t="s">
        <v>1</v>
      </c>
      <c r="F8" t="s">
        <v>1</v>
      </c>
      <c r="G8" t="s">
        <v>1</v>
      </c>
      <c r="H8" t="s">
        <v>1</v>
      </c>
      <c r="I8" t="s">
        <v>1</v>
      </c>
      <c r="J8" t="s">
        <v>1</v>
      </c>
      <c r="K8" t="s">
        <v>1</v>
      </c>
      <c r="L8" t="s">
        <v>1</v>
      </c>
    </row>
    <row r="9" spans="1:12" x14ac:dyDescent="0.3">
      <c r="B9" t="str">
        <f t="shared" si="0"/>
        <v>". . . . . . . . ."</v>
      </c>
      <c r="C9" t="s">
        <v>30</v>
      </c>
      <c r="D9" t="s">
        <v>1</v>
      </c>
      <c r="E9" t="s">
        <v>1</v>
      </c>
      <c r="F9" t="s">
        <v>1</v>
      </c>
      <c r="G9" t="s">
        <v>1</v>
      </c>
      <c r="H9" t="s">
        <v>1</v>
      </c>
      <c r="I9" t="s">
        <v>1</v>
      </c>
      <c r="J9" t="s">
        <v>1</v>
      </c>
      <c r="K9" t="s">
        <v>1</v>
      </c>
      <c r="L9" t="s">
        <v>1</v>
      </c>
    </row>
    <row r="10" spans="1:12" x14ac:dyDescent="0.3">
      <c r="A10">
        <v>11</v>
      </c>
      <c r="B10" t="str">
        <f t="shared" si="0"/>
        <v>"j-rev-8-10-s j-rev-8-10-s j-rev-8-10-s rev-8-10 rev-8-11 j-rev-8-11 j-rev-8-11 j-rev-8-11 j-rev-8-11"</v>
      </c>
      <c r="C10" t="s">
        <v>30</v>
      </c>
      <c r="D10" t="s">
        <v>509</v>
      </c>
      <c r="E10" t="s">
        <v>509</v>
      </c>
      <c r="F10" t="s">
        <v>509</v>
      </c>
      <c r="G10" t="s">
        <v>510</v>
      </c>
      <c r="H10" t="s">
        <v>511</v>
      </c>
      <c r="I10" t="s">
        <v>512</v>
      </c>
      <c r="J10" t="s">
        <v>512</v>
      </c>
      <c r="K10" t="s">
        <v>512</v>
      </c>
      <c r="L10" t="s">
        <v>512</v>
      </c>
    </row>
    <row r="11" spans="1:12" x14ac:dyDescent="0.3">
      <c r="B11" t="str">
        <f t="shared" si="0"/>
        <v>". . . . . . . . ."</v>
      </c>
      <c r="C11" t="s">
        <v>30</v>
      </c>
      <c r="D11" t="s">
        <v>1</v>
      </c>
      <c r="E11" t="s">
        <v>1</v>
      </c>
      <c r="F11" t="s">
        <v>1</v>
      </c>
      <c r="G11" t="s">
        <v>1</v>
      </c>
      <c r="H11" t="s">
        <v>1</v>
      </c>
      <c r="I11" t="s">
        <v>1</v>
      </c>
      <c r="J11" t="s">
        <v>1</v>
      </c>
      <c r="K11" t="s">
        <v>1</v>
      </c>
      <c r="L11" t="s">
        <v>1</v>
      </c>
    </row>
    <row r="12" spans="1:12" x14ac:dyDescent="0.3">
      <c r="A12">
        <v>12</v>
      </c>
      <c r="B12" t="str">
        <f t="shared" si="0"/>
        <v>". . . . . . . . ."</v>
      </c>
      <c r="C12" t="s">
        <v>30</v>
      </c>
      <c r="D12" t="s">
        <v>1</v>
      </c>
      <c r="E12" t="s">
        <v>1</v>
      </c>
      <c r="F12" t="s">
        <v>1</v>
      </c>
      <c r="G12" t="s">
        <v>1</v>
      </c>
      <c r="H12" t="s">
        <v>1</v>
      </c>
      <c r="I12" t="s">
        <v>1</v>
      </c>
      <c r="J12" t="s">
        <v>1</v>
      </c>
      <c r="K12" t="s">
        <v>1</v>
      </c>
      <c r="L12" t="s">
        <v>1</v>
      </c>
    </row>
    <row r="13" spans="1:12" x14ac:dyDescent="0.3">
      <c r="B13" t="str">
        <f t="shared" si="0"/>
        <v>". . . . . . . . ."</v>
      </c>
      <c r="C13" t="s">
        <v>30</v>
      </c>
      <c r="D13" t="s">
        <v>1</v>
      </c>
      <c r="E13" t="s">
        <v>1</v>
      </c>
      <c r="F13" t="s">
        <v>1</v>
      </c>
      <c r="G13" t="s">
        <v>1</v>
      </c>
      <c r="H13" t="s">
        <v>1</v>
      </c>
      <c r="I13" t="s">
        <v>1</v>
      </c>
      <c r="J13" t="s">
        <v>1</v>
      </c>
      <c r="K13" t="s">
        <v>1</v>
      </c>
      <c r="L13" t="s">
        <v>1</v>
      </c>
    </row>
    <row r="14" spans="1:12" x14ac:dyDescent="0.3">
      <c r="A14">
        <v>13</v>
      </c>
      <c r="B14" t="str">
        <f t="shared" si="0"/>
        <v>"j-rev-14-7d-s j-rev-14-7d-s j-rev-14-7d-s rev-14-7d j-rev-14-7d j-rev-14-7d rev-14-8a rev-14-8b j-rev-14-8b"</v>
      </c>
      <c r="C14" t="s">
        <v>30</v>
      </c>
      <c r="D14" t="s">
        <v>516</v>
      </c>
      <c r="E14" t="s">
        <v>516</v>
      </c>
      <c r="F14" t="s">
        <v>516</v>
      </c>
      <c r="G14" t="s">
        <v>517</v>
      </c>
      <c r="H14" t="s">
        <v>521</v>
      </c>
      <c r="I14" t="s">
        <v>521</v>
      </c>
      <c r="J14" t="s">
        <v>518</v>
      </c>
      <c r="K14" t="s">
        <v>519</v>
      </c>
      <c r="L14" t="s">
        <v>520</v>
      </c>
    </row>
    <row r="15" spans="1:12" x14ac:dyDescent="0.3">
      <c r="B15" t="str">
        <f t="shared" si="0"/>
        <v>". . . . . . . . ."</v>
      </c>
      <c r="C15" t="s">
        <v>30</v>
      </c>
      <c r="D15" t="s">
        <v>1</v>
      </c>
      <c r="E15" t="s">
        <v>1</v>
      </c>
      <c r="F15" t="s">
        <v>1</v>
      </c>
      <c r="G15" t="s">
        <v>1</v>
      </c>
      <c r="H15" t="s">
        <v>1</v>
      </c>
      <c r="I15" t="s">
        <v>1</v>
      </c>
      <c r="J15" t="s">
        <v>1</v>
      </c>
      <c r="K15" t="s">
        <v>1</v>
      </c>
      <c r="L15" t="s">
        <v>1</v>
      </c>
    </row>
    <row r="16" spans="1:12" x14ac:dyDescent="0.3">
      <c r="A16">
        <v>14</v>
      </c>
      <c r="B16" t="str">
        <f t="shared" si="0"/>
        <v>". . . . . . . . ."</v>
      </c>
      <c r="C16" t="s">
        <v>30</v>
      </c>
      <c r="D16" t="s">
        <v>1</v>
      </c>
      <c r="E16" t="s">
        <v>1</v>
      </c>
      <c r="F16" t="s">
        <v>1</v>
      </c>
      <c r="G16" t="s">
        <v>1</v>
      </c>
      <c r="H16" t="s">
        <v>1</v>
      </c>
      <c r="I16" t="s">
        <v>1</v>
      </c>
      <c r="J16" t="s">
        <v>1</v>
      </c>
      <c r="K16" t="s">
        <v>1</v>
      </c>
      <c r="L16" t="s">
        <v>1</v>
      </c>
    </row>
    <row r="17" spans="1:12" x14ac:dyDescent="0.3">
      <c r="B17" t="str">
        <f t="shared" si="0"/>
        <v>". . . . . . . . ."</v>
      </c>
      <c r="C17" t="s">
        <v>30</v>
      </c>
      <c r="D17" t="s">
        <v>1</v>
      </c>
      <c r="E17" t="s">
        <v>1</v>
      </c>
      <c r="F17" t="s">
        <v>1</v>
      </c>
      <c r="G17" t="s">
        <v>1</v>
      </c>
      <c r="H17" t="s">
        <v>1</v>
      </c>
      <c r="I17" t="s">
        <v>1</v>
      </c>
      <c r="J17" t="s">
        <v>1</v>
      </c>
      <c r="K17" t="s">
        <v>1</v>
      </c>
      <c r="L17" t="s">
        <v>1</v>
      </c>
    </row>
    <row r="18" spans="1:12" x14ac:dyDescent="0.3">
      <c r="A18">
        <v>15</v>
      </c>
      <c r="B18" t="str">
        <f t="shared" si="0"/>
        <v>". . . . . . . . ."</v>
      </c>
      <c r="C18" t="s">
        <v>30</v>
      </c>
      <c r="D18" t="s">
        <v>1</v>
      </c>
      <c r="E18" t="s">
        <v>1</v>
      </c>
      <c r="F18" t="s">
        <v>1</v>
      </c>
      <c r="G18" t="s">
        <v>1</v>
      </c>
      <c r="H18" t="s">
        <v>1</v>
      </c>
      <c r="I18" t="s">
        <v>1</v>
      </c>
      <c r="J18" t="s">
        <v>1</v>
      </c>
      <c r="K18" t="s">
        <v>1</v>
      </c>
      <c r="L18" t="s">
        <v>1</v>
      </c>
    </row>
    <row r="19" spans="1:12" x14ac:dyDescent="0.3">
      <c r="B19" t="str">
        <f t="shared" si="0"/>
        <v>". . . . . . . . ."</v>
      </c>
      <c r="C19" t="s">
        <v>30</v>
      </c>
      <c r="D19" t="s">
        <v>1</v>
      </c>
      <c r="E19" t="s">
        <v>1</v>
      </c>
      <c r="F19" t="s">
        <v>1</v>
      </c>
      <c r="G19" t="s">
        <v>1</v>
      </c>
      <c r="H19" t="s">
        <v>1</v>
      </c>
      <c r="I19" t="s">
        <v>1</v>
      </c>
      <c r="J19" t="s">
        <v>1</v>
      </c>
      <c r="K19" t="s">
        <v>1</v>
      </c>
      <c r="L19" t="s">
        <v>1</v>
      </c>
    </row>
    <row r="20" spans="1:12" x14ac:dyDescent="0.3">
      <c r="A20">
        <v>16</v>
      </c>
      <c r="B20" t="str">
        <f t="shared" si="0"/>
        <v>"j-gad-2-26b gad-2-26b j-gad-2-26c gad-2-26c j-gad-2-26c-e . . . ."</v>
      </c>
      <c r="C20" t="s">
        <v>30</v>
      </c>
      <c r="D20" t="s">
        <v>502</v>
      </c>
      <c r="E20" t="s">
        <v>348</v>
      </c>
      <c r="F20" t="s">
        <v>503</v>
      </c>
      <c r="G20" t="s">
        <v>504</v>
      </c>
      <c r="H20" t="s">
        <v>505</v>
      </c>
      <c r="I20" t="s">
        <v>1</v>
      </c>
      <c r="J20" t="s">
        <v>1</v>
      </c>
      <c r="K20" t="s">
        <v>1</v>
      </c>
      <c r="L20" t="s">
        <v>1</v>
      </c>
    </row>
    <row r="21" spans="1:12" x14ac:dyDescent="0.3">
      <c r="B21" t="str">
        <f t="shared" si="0"/>
        <v>". . . . . . . . ."</v>
      </c>
      <c r="C21" t="s">
        <v>30</v>
      </c>
      <c r="D21" t="s">
        <v>1</v>
      </c>
      <c r="E21" t="s">
        <v>1</v>
      </c>
      <c r="F21" t="s">
        <v>1</v>
      </c>
      <c r="G21" t="s">
        <v>1</v>
      </c>
      <c r="H21" t="s">
        <v>1</v>
      </c>
      <c r="I21" t="s">
        <v>1</v>
      </c>
      <c r="J21" t="s">
        <v>1</v>
      </c>
      <c r="K21" t="s">
        <v>1</v>
      </c>
      <c r="L21" t="s">
        <v>1</v>
      </c>
    </row>
    <row r="22" spans="1:12" x14ac:dyDescent="0.3">
      <c r="A22">
        <v>17</v>
      </c>
      <c r="B22" t="str">
        <f t="shared" si="0"/>
        <v>". . . . . . . . ."</v>
      </c>
      <c r="C22" t="s">
        <v>30</v>
      </c>
      <c r="D22" t="s">
        <v>1</v>
      </c>
      <c r="E22" t="s">
        <v>1</v>
      </c>
      <c r="F22" t="s">
        <v>1</v>
      </c>
      <c r="G22" t="s">
        <v>1</v>
      </c>
      <c r="H22" t="s">
        <v>1</v>
      </c>
      <c r="I22" t="s">
        <v>1</v>
      </c>
      <c r="J22" t="s">
        <v>1</v>
      </c>
      <c r="K22" t="s">
        <v>1</v>
      </c>
      <c r="L22" t="s">
        <v>1</v>
      </c>
    </row>
    <row r="23" spans="1:12" x14ac:dyDescent="0.3">
      <c r="B23" t="str">
        <f t="shared" si="0"/>
        <v>". . . . . . . . ."</v>
      </c>
      <c r="C23" t="s">
        <v>30</v>
      </c>
      <c r="D23" t="s">
        <v>1</v>
      </c>
      <c r="E23" t="s">
        <v>1</v>
      </c>
      <c r="F23" t="s">
        <v>1</v>
      </c>
      <c r="G23" t="s">
        <v>1</v>
      </c>
      <c r="H23" t="s">
        <v>1</v>
      </c>
      <c r="I23" t="s">
        <v>1</v>
      </c>
      <c r="J23" t="s">
        <v>1</v>
      </c>
      <c r="K23" t="s">
        <v>1</v>
      </c>
      <c r="L23" t="s">
        <v>1</v>
      </c>
    </row>
    <row r="24" spans="1:12" x14ac:dyDescent="0.3">
      <c r="A24">
        <v>18</v>
      </c>
      <c r="B24" t="str">
        <f t="shared" si="0"/>
        <v>". . . . . . . . ."</v>
      </c>
      <c r="C24" t="s">
        <v>30</v>
      </c>
      <c r="D24" t="s">
        <v>1</v>
      </c>
      <c r="E24" t="s">
        <v>1</v>
      </c>
      <c r="F24" t="s">
        <v>1</v>
      </c>
      <c r="G24" t="s">
        <v>1</v>
      </c>
      <c r="H24" t="s">
        <v>1</v>
      </c>
      <c r="I24" t="s">
        <v>1</v>
      </c>
      <c r="J24" t="s">
        <v>1</v>
      </c>
      <c r="K24" t="s">
        <v>1</v>
      </c>
      <c r="L24" t="s">
        <v>1</v>
      </c>
    </row>
    <row r="25" spans="1:12" x14ac:dyDescent="0.3">
      <c r="B25" t="str">
        <f t="shared" si="0"/>
        <v>". . . . . . . . ."</v>
      </c>
      <c r="C25" t="s">
        <v>30</v>
      </c>
      <c r="D25" t="s">
        <v>1</v>
      </c>
      <c r="E25" t="s">
        <v>1</v>
      </c>
      <c r="F25" t="s">
        <v>1</v>
      </c>
      <c r="G25" t="s">
        <v>1</v>
      </c>
      <c r="H25" t="s">
        <v>1</v>
      </c>
      <c r="I25" t="s">
        <v>1</v>
      </c>
      <c r="J25" t="s">
        <v>1</v>
      </c>
      <c r="K25" t="s">
        <v>1</v>
      </c>
      <c r="L25" t="s">
        <v>1</v>
      </c>
    </row>
    <row r="26" spans="1:12" x14ac:dyDescent="0.3">
      <c r="A26">
        <v>19</v>
      </c>
      <c r="B26" t="str">
        <f t="shared" si="0"/>
        <v>". . . . . . . . ."</v>
      </c>
      <c r="C26" t="s">
        <v>30</v>
      </c>
      <c r="D26" t="s">
        <v>1</v>
      </c>
      <c r="E26" t="s">
        <v>1</v>
      </c>
      <c r="F26" t="s">
        <v>1</v>
      </c>
      <c r="G26" t="s">
        <v>1</v>
      </c>
      <c r="H26" t="s">
        <v>1</v>
      </c>
      <c r="I26" t="s">
        <v>1</v>
      </c>
      <c r="J26" t="s">
        <v>1</v>
      </c>
      <c r="K26" t="s">
        <v>1</v>
      </c>
      <c r="L26" t="s">
        <v>1</v>
      </c>
    </row>
    <row r="27" spans="1:12" x14ac:dyDescent="0.3">
      <c r="B27" t="str">
        <f t="shared" si="0"/>
        <v>". . . . . . . . ."</v>
      </c>
      <c r="C27" t="s">
        <v>30</v>
      </c>
      <c r="D27" t="s">
        <v>1</v>
      </c>
      <c r="E27" t="s">
        <v>1</v>
      </c>
      <c r="F27" t="s">
        <v>1</v>
      </c>
      <c r="G27" t="s">
        <v>1</v>
      </c>
      <c r="H27" t="s">
        <v>1</v>
      </c>
      <c r="I27" t="s">
        <v>1</v>
      </c>
      <c r="J27" t="s">
        <v>1</v>
      </c>
      <c r="K27" t="s">
        <v>1</v>
      </c>
      <c r="L27" t="s">
        <v>1</v>
      </c>
    </row>
    <row r="28" spans="1:12" x14ac:dyDescent="0.3">
      <c r="A28">
        <v>20</v>
      </c>
      <c r="B28" t="str">
        <f t="shared" si="0"/>
        <v>"j-ascisa-4-2-s j-ascisa-4-2-s j-ascisa-4-2-s ascisa-4-2 ascisa-4-3 ascisa-4-4 j-ascisa-4-4 j-ascisa-4-4 j-ascisa-4-4"</v>
      </c>
      <c r="C28" t="s">
        <v>30</v>
      </c>
      <c r="D28" t="s">
        <v>528</v>
      </c>
      <c r="E28" t="s">
        <v>528</v>
      </c>
      <c r="F28" t="s">
        <v>528</v>
      </c>
      <c r="G28" t="s">
        <v>529</v>
      </c>
      <c r="H28" t="s">
        <v>530</v>
      </c>
      <c r="I28" t="s">
        <v>531</v>
      </c>
      <c r="J28" t="s">
        <v>532</v>
      </c>
      <c r="K28" t="s">
        <v>532</v>
      </c>
      <c r="L28" t="s">
        <v>532</v>
      </c>
    </row>
    <row r="29" spans="1:12" x14ac:dyDescent="0.3">
      <c r="B29" t="str">
        <f t="shared" si="0"/>
        <v>". . . . . . . . ."</v>
      </c>
      <c r="C29" t="s">
        <v>30</v>
      </c>
      <c r="D29" t="s">
        <v>1</v>
      </c>
      <c r="E29" t="s">
        <v>1</v>
      </c>
      <c r="F29" t="s">
        <v>1</v>
      </c>
      <c r="G29" t="s">
        <v>1</v>
      </c>
      <c r="H29" t="s">
        <v>1</v>
      </c>
      <c r="I29" t="s">
        <v>1</v>
      </c>
      <c r="J29" t="s">
        <v>1</v>
      </c>
      <c r="K29" t="s">
        <v>1</v>
      </c>
      <c r="L29" t="s">
        <v>1</v>
      </c>
    </row>
    <row r="30" spans="1:12" x14ac:dyDescent="0.3">
      <c r="A30">
        <v>21</v>
      </c>
      <c r="B30" t="str">
        <f t="shared" si="0"/>
        <v>"j-rev-18-2-s j-rev-18-2-s j-rev-18-2-s j-rev-18-2-s j-rev-18-2-s j-rev-18-2-s rev-18-2 rev-18-3 j-rev-18-3"</v>
      </c>
      <c r="C30" t="s">
        <v>30</v>
      </c>
      <c r="D30" t="s">
        <v>536</v>
      </c>
      <c r="E30" t="s">
        <v>536</v>
      </c>
      <c r="F30" t="s">
        <v>536</v>
      </c>
      <c r="G30" t="s">
        <v>536</v>
      </c>
      <c r="H30" t="s">
        <v>536</v>
      </c>
      <c r="I30" t="s">
        <v>536</v>
      </c>
      <c r="J30" t="s">
        <v>535</v>
      </c>
      <c r="K30" t="s">
        <v>534</v>
      </c>
      <c r="L30" t="s">
        <v>533</v>
      </c>
    </row>
    <row r="31" spans="1:12" x14ac:dyDescent="0.3">
      <c r="B31" t="str">
        <f t="shared" si="0"/>
        <v>". . . . . . . . ."</v>
      </c>
      <c r="C31" t="s">
        <v>30</v>
      </c>
      <c r="D31" t="s">
        <v>1</v>
      </c>
      <c r="E31" t="s">
        <v>1</v>
      </c>
      <c r="F31" t="s">
        <v>1</v>
      </c>
      <c r="G31" t="s">
        <v>1</v>
      </c>
      <c r="H31" t="s">
        <v>1</v>
      </c>
      <c r="I31" t="s">
        <v>1</v>
      </c>
      <c r="J31" t="s">
        <v>1</v>
      </c>
      <c r="K31" t="s">
        <v>1</v>
      </c>
      <c r="L31" t="s">
        <v>1</v>
      </c>
    </row>
    <row r="32" spans="1:12" x14ac:dyDescent="0.3">
      <c r="A32">
        <v>22</v>
      </c>
      <c r="B32" t="str">
        <f t="shared" si="0"/>
        <v>". . . . . . . . ."</v>
      </c>
      <c r="C32" t="s">
        <v>30</v>
      </c>
      <c r="D32" t="s">
        <v>1</v>
      </c>
      <c r="E32" t="s">
        <v>1</v>
      </c>
      <c r="F32" t="s">
        <v>1</v>
      </c>
      <c r="G32" t="s">
        <v>1</v>
      </c>
      <c r="H32" t="s">
        <v>1</v>
      </c>
      <c r="I32" t="s">
        <v>1</v>
      </c>
      <c r="J32" t="s">
        <v>1</v>
      </c>
      <c r="K32" t="s">
        <v>1</v>
      </c>
      <c r="L32" t="s">
        <v>1</v>
      </c>
    </row>
    <row r="33" spans="1:12" x14ac:dyDescent="0.3">
      <c r="B33" t="str">
        <f t="shared" si="0"/>
        <v>". . . . . . . . ."</v>
      </c>
      <c r="C33" t="s">
        <v>30</v>
      </c>
      <c r="D33" t="s">
        <v>1</v>
      </c>
      <c r="E33" t="s">
        <v>1</v>
      </c>
      <c r="F33" t="s">
        <v>1</v>
      </c>
      <c r="G33" t="s">
        <v>1</v>
      </c>
      <c r="H33" t="s">
        <v>1</v>
      </c>
      <c r="I33" t="s">
        <v>1</v>
      </c>
      <c r="J33" t="s">
        <v>1</v>
      </c>
      <c r="K33" t="s">
        <v>1</v>
      </c>
      <c r="L33" t="s">
        <v>1</v>
      </c>
    </row>
    <row r="34" spans="1:12" x14ac:dyDescent="0.3">
      <c r="A34">
        <v>23</v>
      </c>
      <c r="B34" t="str">
        <f t="shared" si="0"/>
        <v>". . . . . . . . ."</v>
      </c>
      <c r="C34" t="s">
        <v>30</v>
      </c>
      <c r="D34" t="s">
        <v>1</v>
      </c>
      <c r="E34" t="s">
        <v>1</v>
      </c>
      <c r="F34" t="s">
        <v>1</v>
      </c>
      <c r="G34" t="s">
        <v>1</v>
      </c>
      <c r="H34" t="s">
        <v>1</v>
      </c>
      <c r="I34" t="s">
        <v>1</v>
      </c>
      <c r="J34" t="s">
        <v>1</v>
      </c>
      <c r="K34" t="s">
        <v>1</v>
      </c>
      <c r="L34" t="s">
        <v>1</v>
      </c>
    </row>
    <row r="35" spans="1:12" x14ac:dyDescent="0.3">
      <c r="B35" t="str">
        <f t="shared" si="0"/>
        <v>". . . . . . . . ."</v>
      </c>
      <c r="C35" t="s">
        <v>30</v>
      </c>
      <c r="D35" t="s">
        <v>1</v>
      </c>
      <c r="E35" t="s">
        <v>1</v>
      </c>
      <c r="F35" t="s">
        <v>1</v>
      </c>
      <c r="G35" t="s">
        <v>1</v>
      </c>
      <c r="H35" t="s">
        <v>1</v>
      </c>
      <c r="I35" t="s">
        <v>1</v>
      </c>
      <c r="J35" t="s">
        <v>1</v>
      </c>
      <c r="K35" t="s">
        <v>1</v>
      </c>
      <c r="L35" t="s">
        <v>1</v>
      </c>
    </row>
    <row r="36" spans="1:12" x14ac:dyDescent="0.3">
      <c r="A36">
        <v>24</v>
      </c>
      <c r="B36" t="str">
        <f t="shared" si="0"/>
        <v>"j-ba2-48-31b-s ba2-48-31b j-ba2-48-31b j-ba2-48-31b j-ba2-48-31b j-ba2-48-31b j-ba2-48-31b j-ba2-48-31b j-ba2-48-31b"</v>
      </c>
      <c r="C36" t="s">
        <v>30</v>
      </c>
      <c r="D36" t="s">
        <v>540</v>
      </c>
      <c r="E36" t="s">
        <v>541</v>
      </c>
      <c r="F36" t="s">
        <v>542</v>
      </c>
      <c r="G36" t="s">
        <v>542</v>
      </c>
      <c r="H36" t="s">
        <v>542</v>
      </c>
      <c r="I36" t="s">
        <v>542</v>
      </c>
      <c r="J36" t="s">
        <v>542</v>
      </c>
      <c r="K36" t="s">
        <v>542</v>
      </c>
      <c r="L36" t="s">
        <v>542</v>
      </c>
    </row>
    <row r="37" spans="1:12" x14ac:dyDescent="0.3">
      <c r="B37" t="str">
        <f t="shared" si="0"/>
        <v>". . . . . . . . ."</v>
      </c>
      <c r="C37" t="s">
        <v>30</v>
      </c>
      <c r="D37" t="s">
        <v>1</v>
      </c>
      <c r="E37" t="s">
        <v>1</v>
      </c>
      <c r="F37" t="s">
        <v>1</v>
      </c>
      <c r="G37" t="s">
        <v>1</v>
      </c>
      <c r="H37" t="s">
        <v>1</v>
      </c>
      <c r="I37" t="s">
        <v>1</v>
      </c>
      <c r="J37" t="s">
        <v>1</v>
      </c>
      <c r="K37" t="s">
        <v>1</v>
      </c>
      <c r="L37" t="s">
        <v>1</v>
      </c>
    </row>
    <row r="38" spans="1:12" x14ac:dyDescent="0.3">
      <c r="A38">
        <v>25</v>
      </c>
      <c r="B38" t="str">
        <f t="shared" si="0"/>
        <v>". . . . . . . . ."</v>
      </c>
      <c r="C38" t="s">
        <v>30</v>
      </c>
      <c r="D38" t="s">
        <v>1</v>
      </c>
      <c r="E38" t="s">
        <v>1</v>
      </c>
      <c r="F38" t="s">
        <v>1</v>
      </c>
      <c r="G38" t="s">
        <v>1</v>
      </c>
      <c r="H38" t="s">
        <v>1</v>
      </c>
      <c r="I38" t="s">
        <v>1</v>
      </c>
      <c r="J38" t="s">
        <v>1</v>
      </c>
      <c r="K38" t="s">
        <v>1</v>
      </c>
      <c r="L38" t="s">
        <v>1</v>
      </c>
    </row>
    <row r="39" spans="1:12" x14ac:dyDescent="0.3">
      <c r="B39" t="str">
        <f t="shared" ref="B39:B40" si="1">_xlfn.CONCAT(CHAR(34), _xlfn.TEXTJOIN(" ",TRUE,D39:ZD39),CHAR(34))</f>
        <v>". . . . . . . . ."</v>
      </c>
      <c r="C39" t="s">
        <v>30</v>
      </c>
      <c r="D39" t="s">
        <v>1</v>
      </c>
      <c r="E39" t="s">
        <v>1</v>
      </c>
      <c r="F39" t="s">
        <v>1</v>
      </c>
      <c r="G39" t="s">
        <v>1</v>
      </c>
      <c r="H39" t="s">
        <v>1</v>
      </c>
      <c r="I39" t="s">
        <v>1</v>
      </c>
      <c r="J39" t="s">
        <v>1</v>
      </c>
      <c r="K39" t="s">
        <v>1</v>
      </c>
      <c r="L39" t="s">
        <v>1</v>
      </c>
    </row>
    <row r="40" spans="1:12" x14ac:dyDescent="0.3">
      <c r="A40">
        <v>26</v>
      </c>
      <c r="B40" t="str">
        <f t="shared" si="1"/>
        <v>"j-ba2-70-2b-s j-ba2-70-2b-s j-ba2-70-2b-s j-ba2-70-2b-s j-ba2-70-2b-s j-ba2-70-2b-s j-ba2-70-2b-s j-ba2-70-2b-s ba2-70-2b"</v>
      </c>
      <c r="C40" t="s">
        <v>30</v>
      </c>
      <c r="D40" t="s">
        <v>547</v>
      </c>
      <c r="E40" t="s">
        <v>547</v>
      </c>
      <c r="F40" t="s">
        <v>547</v>
      </c>
      <c r="G40" t="s">
        <v>547</v>
      </c>
      <c r="H40" t="s">
        <v>547</v>
      </c>
      <c r="I40" t="s">
        <v>547</v>
      </c>
      <c r="J40" t="s">
        <v>547</v>
      </c>
      <c r="K40" t="s">
        <v>547</v>
      </c>
      <c r="L40" t="s">
        <v>545</v>
      </c>
    </row>
    <row r="42" spans="1:12" x14ac:dyDescent="0.3">
      <c r="A42">
        <v>27</v>
      </c>
    </row>
    <row r="44" spans="1:12" x14ac:dyDescent="0.3">
      <c r="A44">
        <v>28</v>
      </c>
    </row>
    <row r="46" spans="1:12" x14ac:dyDescent="0.3">
      <c r="A46">
        <v>29</v>
      </c>
    </row>
    <row r="48" spans="1:12" x14ac:dyDescent="0.3">
      <c r="A48">
        <v>30</v>
      </c>
    </row>
    <row r="50" spans="1:1" x14ac:dyDescent="0.3">
      <c r="A50">
        <v>31</v>
      </c>
    </row>
    <row r="52" spans="1:1" x14ac:dyDescent="0.3">
      <c r="A52">
        <v>32</v>
      </c>
    </row>
    <row r="54" spans="1:1" x14ac:dyDescent="0.3">
      <c r="A54">
        <v>33</v>
      </c>
    </row>
    <row r="56" spans="1:1" x14ac:dyDescent="0.3">
      <c r="A56">
        <v>34</v>
      </c>
    </row>
    <row r="58" spans="1:1" x14ac:dyDescent="0.3">
      <c r="A58">
        <v>35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0CCC8-2D04-40AE-B8E3-7515D8DDBA1F}">
  <dimension ref="A1:J58"/>
  <sheetViews>
    <sheetView workbookViewId="0">
      <selection activeCell="B4" sqref="B4:B40"/>
    </sheetView>
  </sheetViews>
  <sheetFormatPr defaultRowHeight="14.4" x14ac:dyDescent="0.3"/>
  <cols>
    <col min="1" max="1" width="5.44140625" customWidth="1"/>
    <col min="4" max="6" width="11.44140625" customWidth="1"/>
    <col min="7" max="7" width="11.109375" bestFit="1" customWidth="1"/>
  </cols>
  <sheetData>
    <row r="1" spans="1:10" x14ac:dyDescent="0.3">
      <c r="B1" t="s">
        <v>132</v>
      </c>
      <c r="C1">
        <f>COUNTA(D8:ZC8)</f>
        <v>7</v>
      </c>
    </row>
    <row r="2" spans="1:10" x14ac:dyDescent="0.3">
      <c r="B2" t="s">
        <v>131</v>
      </c>
      <c r="C2">
        <f>COUNTA(B8:B138)</f>
        <v>33</v>
      </c>
    </row>
    <row r="3" spans="1:10" x14ac:dyDescent="0.3">
      <c r="C3" t="s">
        <v>30</v>
      </c>
    </row>
    <row r="4" spans="1:10" x14ac:dyDescent="0.3">
      <c r="A4">
        <v>8</v>
      </c>
      <c r="B4" t="str">
        <f>_xlfn.CONCAT(CHAR(34), _xlfn.TEXTJOIN(" ",TRUE,D4:ZC4),CHAR(34))</f>
        <v>". . . . . . ."</v>
      </c>
      <c r="C4" t="s">
        <v>30</v>
      </c>
      <c r="D4" t="s">
        <v>1</v>
      </c>
      <c r="E4" t="s">
        <v>1</v>
      </c>
      <c r="F4" t="s">
        <v>1</v>
      </c>
      <c r="G4" t="s">
        <v>1</v>
      </c>
      <c r="H4" t="s">
        <v>1</v>
      </c>
      <c r="I4" t="s">
        <v>1</v>
      </c>
      <c r="J4" t="s">
        <v>1</v>
      </c>
    </row>
    <row r="5" spans="1:10" x14ac:dyDescent="0.3">
      <c r="B5" t="str">
        <f t="shared" ref="B5:B40" si="0">_xlfn.CONCAT(CHAR(34), _xlfn.TEXTJOIN(" ",TRUE,D5:ZC5),CHAR(34))</f>
        <v>". . . . . . ."</v>
      </c>
      <c r="C5" t="s">
        <v>30</v>
      </c>
      <c r="D5" t="s">
        <v>1</v>
      </c>
      <c r="E5" t="s">
        <v>1</v>
      </c>
      <c r="F5" t="s">
        <v>1</v>
      </c>
      <c r="G5" t="s">
        <v>1</v>
      </c>
      <c r="H5" t="s">
        <v>1</v>
      </c>
      <c r="I5" t="s">
        <v>1</v>
      </c>
      <c r="J5" t="s">
        <v>1</v>
      </c>
    </row>
    <row r="6" spans="1:10" x14ac:dyDescent="0.3">
      <c r="A6">
        <v>9</v>
      </c>
      <c r="B6" t="str">
        <f t="shared" si="0"/>
        <v>"j-isa-21-11-s isa-21-11 j-isa-21-12 . . . ."</v>
      </c>
      <c r="C6" t="s">
        <v>30</v>
      </c>
      <c r="D6" t="s">
        <v>548</v>
      </c>
      <c r="E6" t="s">
        <v>549</v>
      </c>
      <c r="F6" t="s">
        <v>550</v>
      </c>
      <c r="G6" t="s">
        <v>1</v>
      </c>
      <c r="H6" t="s">
        <v>1</v>
      </c>
      <c r="I6" t="s">
        <v>1</v>
      </c>
      <c r="J6" t="s">
        <v>1</v>
      </c>
    </row>
    <row r="7" spans="1:10" x14ac:dyDescent="0.3">
      <c r="B7" t="str">
        <f t="shared" si="0"/>
        <v>". . . . . . ."</v>
      </c>
      <c r="C7" t="s">
        <v>30</v>
      </c>
      <c r="D7" t="s">
        <v>1</v>
      </c>
      <c r="E7" t="s">
        <v>1</v>
      </c>
      <c r="F7" t="s">
        <v>1</v>
      </c>
      <c r="G7" t="s">
        <v>1</v>
      </c>
      <c r="H7" t="s">
        <v>1</v>
      </c>
      <c r="I7" t="s">
        <v>1</v>
      </c>
      <c r="J7" t="s">
        <v>1</v>
      </c>
    </row>
    <row r="8" spans="1:10" x14ac:dyDescent="0.3">
      <c r="A8">
        <v>10</v>
      </c>
      <c r="B8" t="str">
        <f t="shared" si="0"/>
        <v>". . . . . . ."</v>
      </c>
      <c r="C8" t="s">
        <v>30</v>
      </c>
      <c r="D8" t="s">
        <v>1</v>
      </c>
      <c r="E8" t="s">
        <v>1</v>
      </c>
      <c r="F8" t="s">
        <v>1</v>
      </c>
      <c r="G8" t="s">
        <v>1</v>
      </c>
      <c r="H8" t="s">
        <v>1</v>
      </c>
      <c r="I8" t="s">
        <v>1</v>
      </c>
      <c r="J8" t="s">
        <v>1</v>
      </c>
    </row>
    <row r="9" spans="1:10" x14ac:dyDescent="0.3">
      <c r="B9" t="str">
        <f t="shared" si="0"/>
        <v>". . . . . . ."</v>
      </c>
      <c r="C9" t="s">
        <v>30</v>
      </c>
      <c r="D9" t="s">
        <v>1</v>
      </c>
      <c r="E9" t="s">
        <v>1</v>
      </c>
      <c r="F9" t="s">
        <v>1</v>
      </c>
      <c r="G9" t="s">
        <v>1</v>
      </c>
      <c r="H9" t="s">
        <v>1</v>
      </c>
      <c r="I9" t="s">
        <v>1</v>
      </c>
      <c r="J9" t="s">
        <v>1</v>
      </c>
    </row>
    <row r="10" spans="1:10" x14ac:dyDescent="0.3">
      <c r="A10">
        <v>11</v>
      </c>
      <c r="B10" t="str">
        <f t="shared" si="0"/>
        <v>"j-rev-8-12-s rev-8-12 j-rev-8-12 rev-8-13a rev-8-13b . ."</v>
      </c>
      <c r="C10" t="s">
        <v>30</v>
      </c>
      <c r="D10" t="s">
        <v>551</v>
      </c>
      <c r="E10" t="s">
        <v>552</v>
      </c>
      <c r="F10" t="s">
        <v>553</v>
      </c>
      <c r="G10" t="s">
        <v>554</v>
      </c>
      <c r="H10" t="s">
        <v>555</v>
      </c>
      <c r="I10" t="s">
        <v>1</v>
      </c>
      <c r="J10" t="s">
        <v>1</v>
      </c>
    </row>
    <row r="11" spans="1:10" x14ac:dyDescent="0.3">
      <c r="B11" t="str">
        <f t="shared" si="0"/>
        <v>". . . . . . ."</v>
      </c>
      <c r="C11" t="s">
        <v>30</v>
      </c>
      <c r="D11" t="s">
        <v>1</v>
      </c>
      <c r="E11" t="s">
        <v>1</v>
      </c>
      <c r="F11" t="s">
        <v>1</v>
      </c>
      <c r="G11" t="s">
        <v>1</v>
      </c>
      <c r="H11" t="s">
        <v>1</v>
      </c>
      <c r="I11" t="s">
        <v>1</v>
      </c>
      <c r="J11" t="s">
        <v>1</v>
      </c>
    </row>
    <row r="12" spans="1:10" x14ac:dyDescent="0.3">
      <c r="A12">
        <v>12</v>
      </c>
      <c r="B12" t="str">
        <f t="shared" si="0"/>
        <v>". . . . . j-mrk-13-8a-s mark-13-8a"</v>
      </c>
      <c r="C12" t="s">
        <v>30</v>
      </c>
      <c r="D12" t="s">
        <v>1</v>
      </c>
      <c r="E12" t="s">
        <v>1</v>
      </c>
      <c r="F12" t="s">
        <v>1</v>
      </c>
      <c r="G12" t="s">
        <v>1</v>
      </c>
      <c r="H12" t="s">
        <v>1</v>
      </c>
      <c r="I12" t="s">
        <v>559</v>
      </c>
      <c r="J12" t="s">
        <v>556</v>
      </c>
    </row>
    <row r="13" spans="1:10" x14ac:dyDescent="0.3">
      <c r="B13" t="str">
        <f t="shared" si="0"/>
        <v>". . . . . . ."</v>
      </c>
      <c r="C13" t="s">
        <v>30</v>
      </c>
      <c r="D13" t="s">
        <v>1</v>
      </c>
      <c r="E13" t="s">
        <v>1</v>
      </c>
      <c r="F13" t="s">
        <v>1</v>
      </c>
      <c r="G13" t="s">
        <v>1</v>
      </c>
      <c r="H13" t="s">
        <v>1</v>
      </c>
      <c r="I13" t="s">
        <v>1</v>
      </c>
      <c r="J13" t="s">
        <v>1</v>
      </c>
    </row>
    <row r="14" spans="1:10" x14ac:dyDescent="0.3">
      <c r="A14">
        <v>13</v>
      </c>
      <c r="B14" t="str">
        <f t="shared" si="0"/>
        <v>"j-rev-14-9-s j-rev-14-9-s j-rev-14-9-s rev-14-9 j-rev-14-9 rev-14-10 j-rev-14-10"</v>
      </c>
      <c r="C14" t="s">
        <v>30</v>
      </c>
      <c r="D14" t="s">
        <v>560</v>
      </c>
      <c r="E14" t="s">
        <v>560</v>
      </c>
      <c r="F14" t="s">
        <v>560</v>
      </c>
      <c r="G14" t="s">
        <v>561</v>
      </c>
      <c r="H14" t="s">
        <v>562</v>
      </c>
      <c r="I14" t="s">
        <v>563</v>
      </c>
      <c r="J14" t="s">
        <v>564</v>
      </c>
    </row>
    <row r="15" spans="1:10" x14ac:dyDescent="0.3">
      <c r="B15" t="str">
        <f t="shared" si="0"/>
        <v>". . . . . . ."</v>
      </c>
      <c r="C15" t="s">
        <v>30</v>
      </c>
      <c r="D15" t="s">
        <v>1</v>
      </c>
      <c r="E15" t="s">
        <v>1</v>
      </c>
      <c r="F15" t="s">
        <v>1</v>
      </c>
      <c r="G15" t="s">
        <v>1</v>
      </c>
      <c r="H15" t="s">
        <v>1</v>
      </c>
      <c r="I15" t="s">
        <v>1</v>
      </c>
      <c r="J15" t="s">
        <v>1</v>
      </c>
    </row>
    <row r="16" spans="1:10" x14ac:dyDescent="0.3">
      <c r="A16">
        <v>14</v>
      </c>
      <c r="B16" t="str">
        <f t="shared" si="0"/>
        <v>". . . . . . ."</v>
      </c>
      <c r="C16" t="s">
        <v>30</v>
      </c>
      <c r="D16" t="s">
        <v>1</v>
      </c>
      <c r="E16" t="s">
        <v>1</v>
      </c>
      <c r="F16" t="s">
        <v>1</v>
      </c>
      <c r="G16" t="s">
        <v>1</v>
      </c>
      <c r="H16" t="s">
        <v>1</v>
      </c>
      <c r="I16" t="s">
        <v>1</v>
      </c>
      <c r="J16" t="s">
        <v>1</v>
      </c>
    </row>
    <row r="17" spans="1:10" x14ac:dyDescent="0.3">
      <c r="B17" t="str">
        <f t="shared" si="0"/>
        <v>". . . . . . ."</v>
      </c>
      <c r="C17" t="s">
        <v>30</v>
      </c>
      <c r="D17" t="s">
        <v>1</v>
      </c>
      <c r="E17" t="s">
        <v>1</v>
      </c>
      <c r="F17" t="s">
        <v>1</v>
      </c>
      <c r="G17" t="s">
        <v>1</v>
      </c>
      <c r="H17" t="s">
        <v>1</v>
      </c>
      <c r="I17" t="s">
        <v>1</v>
      </c>
      <c r="J17" t="s">
        <v>1</v>
      </c>
    </row>
    <row r="18" spans="1:10" x14ac:dyDescent="0.3">
      <c r="A18">
        <v>15</v>
      </c>
      <c r="B18" t="str">
        <f t="shared" si="0"/>
        <v>"j-enoch-74-4-s enoch-74-4 j-enoch-74-4 enoch-74-5 j-enoch-74-5 j-luke-21-10-s luke-21-10"</v>
      </c>
      <c r="C18" t="s">
        <v>30</v>
      </c>
      <c r="D18" t="s">
        <v>567</v>
      </c>
      <c r="E18" t="s">
        <v>568</v>
      </c>
      <c r="F18" t="s">
        <v>569</v>
      </c>
      <c r="G18" t="s">
        <v>570</v>
      </c>
      <c r="H18" t="s">
        <v>571</v>
      </c>
      <c r="I18" t="s">
        <v>575</v>
      </c>
      <c r="J18" t="s">
        <v>576</v>
      </c>
    </row>
    <row r="19" spans="1:10" x14ac:dyDescent="0.3">
      <c r="B19" t="str">
        <f t="shared" si="0"/>
        <v>". . . . . . ."</v>
      </c>
      <c r="C19" t="s">
        <v>30</v>
      </c>
      <c r="D19" t="s">
        <v>1</v>
      </c>
      <c r="E19" t="s">
        <v>1</v>
      </c>
      <c r="F19" t="s">
        <v>1</v>
      </c>
      <c r="G19" t="s">
        <v>1</v>
      </c>
      <c r="H19" t="s">
        <v>1</v>
      </c>
      <c r="I19" t="s">
        <v>1</v>
      </c>
      <c r="J19" t="s">
        <v>1</v>
      </c>
    </row>
    <row r="20" spans="1:10" x14ac:dyDescent="0.3">
      <c r="A20">
        <v>16</v>
      </c>
      <c r="B20" t="str">
        <f t="shared" si="0"/>
        <v>". . j-enoch-76-8-s enoch-76-8 j-enoch-76-8 j-enoch-76-8 j-enoch-76-8"</v>
      </c>
      <c r="C20" t="s">
        <v>30</v>
      </c>
      <c r="D20" t="s">
        <v>1</v>
      </c>
      <c r="E20" t="s">
        <v>1</v>
      </c>
      <c r="F20" t="s">
        <v>572</v>
      </c>
      <c r="G20" t="s">
        <v>573</v>
      </c>
      <c r="H20" t="s">
        <v>574</v>
      </c>
      <c r="I20" t="s">
        <v>574</v>
      </c>
      <c r="J20" t="s">
        <v>574</v>
      </c>
    </row>
    <row r="21" spans="1:10" x14ac:dyDescent="0.3">
      <c r="B21" t="str">
        <f t="shared" si="0"/>
        <v>". . . . . . ."</v>
      </c>
      <c r="C21" t="s">
        <v>30</v>
      </c>
      <c r="D21" t="s">
        <v>1</v>
      </c>
      <c r="E21" t="s">
        <v>1</v>
      </c>
      <c r="F21" t="s">
        <v>1</v>
      </c>
      <c r="G21" t="s">
        <v>1</v>
      </c>
      <c r="H21" t="s">
        <v>1</v>
      </c>
      <c r="I21" t="s">
        <v>1</v>
      </c>
      <c r="J21" t="s">
        <v>1</v>
      </c>
    </row>
    <row r="22" spans="1:10" x14ac:dyDescent="0.3">
      <c r="A22">
        <v>17</v>
      </c>
      <c r="B22" t="str">
        <f t="shared" si="0"/>
        <v>"j-enoch-80-4-s enoch-80-4 enoch-80-6 j-enoch-80-6 enoch-80-7 enoch-80-8 ."</v>
      </c>
      <c r="C22" t="s">
        <v>30</v>
      </c>
      <c r="D22" t="s">
        <v>580</v>
      </c>
      <c r="E22" t="s">
        <v>581</v>
      </c>
      <c r="F22" t="s">
        <v>582</v>
      </c>
      <c r="G22" t="s">
        <v>583</v>
      </c>
      <c r="H22" t="s">
        <v>584</v>
      </c>
      <c r="I22" t="s">
        <v>585</v>
      </c>
      <c r="J22" t="s">
        <v>1</v>
      </c>
    </row>
    <row r="23" spans="1:10" x14ac:dyDescent="0.3">
      <c r="B23" t="str">
        <f t="shared" si="0"/>
        <v>". . . . . . ."</v>
      </c>
      <c r="C23" t="s">
        <v>30</v>
      </c>
      <c r="D23" t="s">
        <v>1</v>
      </c>
      <c r="E23" t="s">
        <v>1</v>
      </c>
      <c r="F23" t="s">
        <v>1</v>
      </c>
      <c r="G23" t="s">
        <v>1</v>
      </c>
      <c r="H23" t="s">
        <v>1</v>
      </c>
      <c r="I23" t="s">
        <v>1</v>
      </c>
      <c r="J23" t="s">
        <v>1</v>
      </c>
    </row>
    <row r="24" spans="1:10" x14ac:dyDescent="0.3">
      <c r="A24">
        <v>18</v>
      </c>
      <c r="B24" t="str">
        <f t="shared" si="0"/>
        <v>". . j-hab-3-2a-s hab-3-2a j-hab-3-2a hab-3-2b j-hab-3-2b"</v>
      </c>
      <c r="C24" t="s">
        <v>30</v>
      </c>
      <c r="D24" t="s">
        <v>1</v>
      </c>
      <c r="E24" t="s">
        <v>1</v>
      </c>
      <c r="F24" t="s">
        <v>586</v>
      </c>
      <c r="G24" t="s">
        <v>587</v>
      </c>
      <c r="H24" t="s">
        <v>588</v>
      </c>
      <c r="I24" t="s">
        <v>589</v>
      </c>
      <c r="J24" t="s">
        <v>590</v>
      </c>
    </row>
    <row r="25" spans="1:10" x14ac:dyDescent="0.3">
      <c r="B25" t="str">
        <f t="shared" si="0"/>
        <v>". . . . . . ."</v>
      </c>
      <c r="C25" t="s">
        <v>30</v>
      </c>
      <c r="D25" t="s">
        <v>1</v>
      </c>
      <c r="E25" t="s">
        <v>1</v>
      </c>
      <c r="F25" t="s">
        <v>1</v>
      </c>
      <c r="G25" t="s">
        <v>1</v>
      </c>
      <c r="H25" t="s">
        <v>1</v>
      </c>
      <c r="I25" t="s">
        <v>1</v>
      </c>
      <c r="J25" t="s">
        <v>1</v>
      </c>
    </row>
    <row r="26" spans="1:10" x14ac:dyDescent="0.3">
      <c r="A26">
        <v>19</v>
      </c>
      <c r="B26" t="str">
        <f t="shared" si="0"/>
        <v>"j-ba2-30-4-s j-ba2-30-4-s j-ba2-30-4-s ba2-30-4 ba2-30-5 j-mat-24-7a-s mat-24-7a"</v>
      </c>
      <c r="C26" t="s">
        <v>30</v>
      </c>
      <c r="D26" t="s">
        <v>592</v>
      </c>
      <c r="E26" t="s">
        <v>592</v>
      </c>
      <c r="F26" t="s">
        <v>592</v>
      </c>
      <c r="G26" t="s">
        <v>593</v>
      </c>
      <c r="H26" t="s">
        <v>594</v>
      </c>
      <c r="I26" t="s">
        <v>625</v>
      </c>
      <c r="J26" t="s">
        <v>595</v>
      </c>
    </row>
    <row r="27" spans="1:10" x14ac:dyDescent="0.3">
      <c r="B27" t="str">
        <f t="shared" si="0"/>
        <v>". . . . . . ."</v>
      </c>
      <c r="C27" t="s">
        <v>30</v>
      </c>
      <c r="D27" t="s">
        <v>1</v>
      </c>
      <c r="E27" t="s">
        <v>1</v>
      </c>
      <c r="F27" t="s">
        <v>1</v>
      </c>
      <c r="G27" t="s">
        <v>1</v>
      </c>
      <c r="H27" t="s">
        <v>1</v>
      </c>
      <c r="I27" t="s">
        <v>1</v>
      </c>
      <c r="J27" t="s">
        <v>1</v>
      </c>
    </row>
    <row r="28" spans="1:10" x14ac:dyDescent="0.3">
      <c r="A28">
        <v>20</v>
      </c>
      <c r="B28" t="str">
        <f t="shared" si="0"/>
        <v>"j-ascisa-4-5-s ascisa-4-5 j-ascisa-4-5 j-ascisa-4-5 j-ascisa-4-5 j-ascisa-4-5 j-ascisa-4-5"</v>
      </c>
      <c r="C28" t="s">
        <v>30</v>
      </c>
      <c r="D28" t="s">
        <v>601</v>
      </c>
      <c r="E28" t="s">
        <v>602</v>
      </c>
      <c r="F28" t="s">
        <v>603</v>
      </c>
      <c r="G28" t="s">
        <v>603</v>
      </c>
      <c r="H28" t="s">
        <v>603</v>
      </c>
      <c r="I28" t="s">
        <v>603</v>
      </c>
      <c r="J28" t="s">
        <v>603</v>
      </c>
    </row>
    <row r="29" spans="1:10" x14ac:dyDescent="0.3">
      <c r="B29" t="str">
        <f t="shared" si="0"/>
        <v>". . . . . . ."</v>
      </c>
      <c r="C29" t="s">
        <v>30</v>
      </c>
      <c r="D29" t="s">
        <v>1</v>
      </c>
      <c r="E29" t="s">
        <v>1</v>
      </c>
      <c r="F29" t="s">
        <v>1</v>
      </c>
      <c r="G29" t="s">
        <v>1</v>
      </c>
      <c r="H29" t="s">
        <v>1</v>
      </c>
      <c r="I29" t="s">
        <v>1</v>
      </c>
      <c r="J29" t="s">
        <v>1</v>
      </c>
    </row>
    <row r="30" spans="1:10" x14ac:dyDescent="0.3">
      <c r="A30">
        <v>21</v>
      </c>
      <c r="B30" t="str">
        <f t="shared" si="0"/>
        <v>"j-rev-18-4-s j-rev-18-4-s j-rev-18-4-s rev-18-4 rev-18-5 rev-18-6 rev-18-7"</v>
      </c>
      <c r="C30" t="s">
        <v>30</v>
      </c>
      <c r="D30" t="s">
        <v>604</v>
      </c>
      <c r="E30" t="s">
        <v>604</v>
      </c>
      <c r="F30" t="s">
        <v>604</v>
      </c>
      <c r="G30" t="s">
        <v>605</v>
      </c>
      <c r="H30" t="s">
        <v>606</v>
      </c>
      <c r="I30" t="s">
        <v>607</v>
      </c>
      <c r="J30" t="s">
        <v>608</v>
      </c>
    </row>
    <row r="31" spans="1:10" x14ac:dyDescent="0.3">
      <c r="B31" t="str">
        <f t="shared" si="0"/>
        <v>". . . . . . ."</v>
      </c>
      <c r="C31" t="s">
        <v>30</v>
      </c>
      <c r="D31" t="s">
        <v>1</v>
      </c>
      <c r="E31" t="s">
        <v>1</v>
      </c>
      <c r="F31" t="s">
        <v>1</v>
      </c>
      <c r="G31" t="s">
        <v>1</v>
      </c>
      <c r="H31" t="s">
        <v>1</v>
      </c>
      <c r="I31" t="s">
        <v>1</v>
      </c>
      <c r="J31" t="s">
        <v>1</v>
      </c>
    </row>
    <row r="32" spans="1:10" x14ac:dyDescent="0.3">
      <c r="A32">
        <v>22</v>
      </c>
      <c r="B32" t="str">
        <f t="shared" si="0"/>
        <v>"j-es2-15-13b-s j-es2-15-13b-s es2-15-13b j-es2-15-13b es2-15-14 es2-15-15a es2-15-15b"</v>
      </c>
      <c r="C32" t="s">
        <v>30</v>
      </c>
      <c r="D32" t="s">
        <v>612</v>
      </c>
      <c r="E32" t="s">
        <v>612</v>
      </c>
      <c r="F32" t="s">
        <v>613</v>
      </c>
      <c r="G32" t="s">
        <v>614</v>
      </c>
      <c r="H32" t="s">
        <v>615</v>
      </c>
      <c r="I32" t="s">
        <v>659</v>
      </c>
      <c r="J32" t="s">
        <v>660</v>
      </c>
    </row>
    <row r="33" spans="1:10" x14ac:dyDescent="0.3">
      <c r="B33" t="str">
        <f t="shared" si="0"/>
        <v>". . . . . . ."</v>
      </c>
      <c r="C33" t="s">
        <v>30</v>
      </c>
      <c r="D33" t="s">
        <v>1</v>
      </c>
      <c r="E33" t="s">
        <v>1</v>
      </c>
      <c r="F33" t="s">
        <v>1</v>
      </c>
      <c r="G33" t="s">
        <v>1</v>
      </c>
      <c r="H33" t="s">
        <v>1</v>
      </c>
      <c r="I33" t="s">
        <v>1</v>
      </c>
      <c r="J33" t="s">
        <v>1</v>
      </c>
    </row>
    <row r="34" spans="1:10" x14ac:dyDescent="0.3">
      <c r="A34">
        <v>23</v>
      </c>
      <c r="B34" t="str">
        <f t="shared" si="0"/>
        <v>"j-es2-5-4-s es2-5-4 j-es2-5-4 es2-5-5 j-es2-5-5 j-es2-5-5 j-es2-5-5"</v>
      </c>
      <c r="C34" t="s">
        <v>30</v>
      </c>
      <c r="D34" t="s">
        <v>618</v>
      </c>
      <c r="E34" t="s">
        <v>619</v>
      </c>
      <c r="F34" t="s">
        <v>620</v>
      </c>
      <c r="G34" t="s">
        <v>621</v>
      </c>
      <c r="H34" t="s">
        <v>617</v>
      </c>
      <c r="I34" t="s">
        <v>617</v>
      </c>
      <c r="J34" t="s">
        <v>617</v>
      </c>
    </row>
    <row r="35" spans="1:10" x14ac:dyDescent="0.3">
      <c r="B35" t="str">
        <f t="shared" si="0"/>
        <v>". . . . . . ."</v>
      </c>
      <c r="C35" t="s">
        <v>30</v>
      </c>
      <c r="D35" t="s">
        <v>1</v>
      </c>
      <c r="E35" t="s">
        <v>1</v>
      </c>
      <c r="F35" t="s">
        <v>1</v>
      </c>
      <c r="G35" t="s">
        <v>1</v>
      </c>
      <c r="H35" t="s">
        <v>1</v>
      </c>
      <c r="I35" t="s">
        <v>1</v>
      </c>
      <c r="J35" t="s">
        <v>1</v>
      </c>
    </row>
    <row r="36" spans="1:10" x14ac:dyDescent="0.3">
      <c r="A36">
        <v>24</v>
      </c>
      <c r="B36" t="str">
        <f t="shared" si="0"/>
        <v>"j-ba2-48-32-s j-ba2-48-32-s j-ba2-48-32-s j-ba2-48-32-s j-ba2-48-32-s j-ba2-48-32-s ba2-48-32"</v>
      </c>
      <c r="C36" t="s">
        <v>30</v>
      </c>
      <c r="D36" t="s">
        <v>623</v>
      </c>
      <c r="E36" t="s">
        <v>623</v>
      </c>
      <c r="F36" t="s">
        <v>623</v>
      </c>
      <c r="G36" t="s">
        <v>623</v>
      </c>
      <c r="H36" t="s">
        <v>623</v>
      </c>
      <c r="I36" t="s">
        <v>623</v>
      </c>
      <c r="J36" t="s">
        <v>622</v>
      </c>
    </row>
    <row r="37" spans="1:10" x14ac:dyDescent="0.3">
      <c r="B37" t="str">
        <f t="shared" si="0"/>
        <v>". . . . . . ."</v>
      </c>
      <c r="C37" t="s">
        <v>30</v>
      </c>
      <c r="D37" t="s">
        <v>1</v>
      </c>
      <c r="E37" t="s">
        <v>1</v>
      </c>
      <c r="F37" t="s">
        <v>1</v>
      </c>
      <c r="G37" t="s">
        <v>1</v>
      </c>
      <c r="H37" t="s">
        <v>1</v>
      </c>
      <c r="I37" t="s">
        <v>1</v>
      </c>
      <c r="J37" t="s">
        <v>1</v>
      </c>
    </row>
    <row r="38" spans="1:10" x14ac:dyDescent="0.3">
      <c r="A38">
        <v>25</v>
      </c>
      <c r="B38" t="str">
        <f t="shared" si="0"/>
        <v>"j-es2-16-17-s j-es2-16-17-s j-es2-16-17-s j-es2-16-17-s es2-16-17 j-es2-16-17 j-es2-16-17"</v>
      </c>
      <c r="C38" t="s">
        <v>30</v>
      </c>
      <c r="D38" t="s">
        <v>639</v>
      </c>
      <c r="E38" t="s">
        <v>639</v>
      </c>
      <c r="F38" t="s">
        <v>639</v>
      </c>
      <c r="G38" t="s">
        <v>639</v>
      </c>
      <c r="H38" t="s">
        <v>638</v>
      </c>
      <c r="I38" t="s">
        <v>637</v>
      </c>
      <c r="J38" t="s">
        <v>637</v>
      </c>
    </row>
    <row r="39" spans="1:10" x14ac:dyDescent="0.3">
      <c r="B39" t="str">
        <f t="shared" si="0"/>
        <v>". . . . . . ."</v>
      </c>
      <c r="C39" t="s">
        <v>30</v>
      </c>
      <c r="D39" t="s">
        <v>1</v>
      </c>
      <c r="E39" t="s">
        <v>1</v>
      </c>
      <c r="F39" t="s">
        <v>1</v>
      </c>
      <c r="G39" t="s">
        <v>1</v>
      </c>
      <c r="H39" t="s">
        <v>1</v>
      </c>
      <c r="I39" t="s">
        <v>1</v>
      </c>
      <c r="J39" t="s">
        <v>1</v>
      </c>
    </row>
    <row r="40" spans="1:10" x14ac:dyDescent="0.3">
      <c r="A40">
        <v>26</v>
      </c>
      <c r="B40" t="str">
        <f t="shared" si="0"/>
        <v>"j-ba2-70-2b-s j-ba2-70-2b-s j-ba2-70-2b-s j-ba2-70-2b-s j-ba2-70-2b-s ba2-70-2b ba2-70-3"</v>
      </c>
      <c r="C40" t="s">
        <v>30</v>
      </c>
      <c r="D40" t="s">
        <v>547</v>
      </c>
      <c r="E40" t="s">
        <v>547</v>
      </c>
      <c r="F40" t="s">
        <v>547</v>
      </c>
      <c r="G40" t="s">
        <v>547</v>
      </c>
      <c r="H40" t="s">
        <v>547</v>
      </c>
      <c r="I40" t="s">
        <v>545</v>
      </c>
      <c r="J40" t="s">
        <v>642</v>
      </c>
    </row>
    <row r="42" spans="1:10" x14ac:dyDescent="0.3">
      <c r="A42">
        <v>27</v>
      </c>
    </row>
    <row r="44" spans="1:10" x14ac:dyDescent="0.3">
      <c r="A44">
        <v>28</v>
      </c>
    </row>
    <row r="46" spans="1:10" x14ac:dyDescent="0.3">
      <c r="A46">
        <v>29</v>
      </c>
    </row>
    <row r="48" spans="1:10" x14ac:dyDescent="0.3">
      <c r="A48">
        <v>30</v>
      </c>
    </row>
    <row r="50" spans="1:1" x14ac:dyDescent="0.3">
      <c r="A50">
        <v>31</v>
      </c>
    </row>
    <row r="52" spans="1:1" x14ac:dyDescent="0.3">
      <c r="A52">
        <v>32</v>
      </c>
    </row>
    <row r="54" spans="1:1" x14ac:dyDescent="0.3">
      <c r="A54">
        <v>33</v>
      </c>
    </row>
    <row r="56" spans="1:1" x14ac:dyDescent="0.3">
      <c r="A56">
        <v>34</v>
      </c>
    </row>
    <row r="58" spans="1:1" x14ac:dyDescent="0.3">
      <c r="A58">
        <v>35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91CE6-D33A-4550-9A04-9D5310D5EADC}">
  <dimension ref="A1:K58"/>
  <sheetViews>
    <sheetView workbookViewId="0">
      <selection activeCell="G16" sqref="G16"/>
    </sheetView>
  </sheetViews>
  <sheetFormatPr defaultRowHeight="14.4" x14ac:dyDescent="0.3"/>
  <cols>
    <col min="1" max="1" width="5.44140625" customWidth="1"/>
    <col min="4" max="6" width="11.44140625" customWidth="1"/>
    <col min="7" max="7" width="11.109375" bestFit="1" customWidth="1"/>
  </cols>
  <sheetData>
    <row r="1" spans="1:11" x14ac:dyDescent="0.3">
      <c r="B1" t="s">
        <v>132</v>
      </c>
      <c r="C1">
        <f>COUNTA(D8:ZC8)</f>
        <v>8</v>
      </c>
    </row>
    <row r="2" spans="1:11" x14ac:dyDescent="0.3">
      <c r="B2" t="s">
        <v>131</v>
      </c>
      <c r="C2">
        <f>COUNTA(B8:B138)</f>
        <v>33</v>
      </c>
    </row>
    <row r="3" spans="1:11" x14ac:dyDescent="0.3">
      <c r="C3" t="s">
        <v>30</v>
      </c>
    </row>
    <row r="4" spans="1:11" x14ac:dyDescent="0.3">
      <c r="A4">
        <v>8</v>
      </c>
      <c r="B4" t="str">
        <f>_xlfn.CONCAT(CHAR(34), _xlfn.TEXTJOIN(" ",TRUE,D4:ZC4),CHAR(34))</f>
        <v>". . . . . . . ."</v>
      </c>
      <c r="C4" t="s">
        <v>30</v>
      </c>
      <c r="D4" t="s">
        <v>1</v>
      </c>
      <c r="E4" t="s">
        <v>1</v>
      </c>
      <c r="F4" t="s">
        <v>1</v>
      </c>
      <c r="G4" t="s">
        <v>1</v>
      </c>
      <c r="H4" t="s">
        <v>1</v>
      </c>
      <c r="I4" t="s">
        <v>1</v>
      </c>
      <c r="J4" t="s">
        <v>1</v>
      </c>
      <c r="K4" t="s">
        <v>1</v>
      </c>
    </row>
    <row r="5" spans="1:11" x14ac:dyDescent="0.3">
      <c r="B5" t="str">
        <f t="shared" ref="B5:B40" si="0">_xlfn.CONCAT(CHAR(34), _xlfn.TEXTJOIN(" ",TRUE,D5:ZC5),CHAR(34))</f>
        <v>". . . . . . . ."</v>
      </c>
      <c r="C5" t="s">
        <v>30</v>
      </c>
      <c r="D5" t="s">
        <v>1</v>
      </c>
      <c r="E5" t="s">
        <v>1</v>
      </c>
      <c r="F5" t="s">
        <v>1</v>
      </c>
      <c r="G5" t="s">
        <v>1</v>
      </c>
      <c r="H5" t="s">
        <v>1</v>
      </c>
      <c r="I5" t="s">
        <v>1</v>
      </c>
      <c r="J5" t="s">
        <v>1</v>
      </c>
      <c r="K5" t="s">
        <v>1</v>
      </c>
    </row>
    <row r="6" spans="1:11" x14ac:dyDescent="0.3">
      <c r="A6">
        <v>9</v>
      </c>
      <c r="B6" t="str">
        <f t="shared" si="0"/>
        <v>". . . . . . . ."</v>
      </c>
      <c r="C6" t="s">
        <v>30</v>
      </c>
      <c r="D6" t="s">
        <v>1</v>
      </c>
      <c r="E6" t="s">
        <v>1</v>
      </c>
      <c r="F6" t="s">
        <v>1</v>
      </c>
      <c r="G6" t="s">
        <v>1</v>
      </c>
      <c r="H6" t="s">
        <v>1</v>
      </c>
      <c r="I6" t="s">
        <v>1</v>
      </c>
      <c r="J6" t="s">
        <v>1</v>
      </c>
      <c r="K6" t="s">
        <v>1</v>
      </c>
    </row>
    <row r="7" spans="1:11" x14ac:dyDescent="0.3">
      <c r="B7" t="str">
        <f t="shared" si="0"/>
        <v>". . . . . . . ."</v>
      </c>
      <c r="C7" t="s">
        <v>30</v>
      </c>
      <c r="D7" t="s">
        <v>1</v>
      </c>
      <c r="E7" t="s">
        <v>1</v>
      </c>
      <c r="F7" t="s">
        <v>1</v>
      </c>
      <c r="G7" t="s">
        <v>1</v>
      </c>
      <c r="H7" t="s">
        <v>1</v>
      </c>
      <c r="I7" t="s">
        <v>1</v>
      </c>
      <c r="J7" t="s">
        <v>1</v>
      </c>
      <c r="K7" t="s">
        <v>1</v>
      </c>
    </row>
    <row r="8" spans="1:11" x14ac:dyDescent="0.3">
      <c r="A8">
        <v>10</v>
      </c>
      <c r="B8" t="str">
        <f t="shared" si="0"/>
        <v>". . . . . . . ."</v>
      </c>
      <c r="C8" t="s">
        <v>30</v>
      </c>
      <c r="D8" t="s">
        <v>1</v>
      </c>
      <c r="E8" t="s">
        <v>1</v>
      </c>
      <c r="F8" t="s">
        <v>1</v>
      </c>
      <c r="G8" t="s">
        <v>1</v>
      </c>
      <c r="H8" t="s">
        <v>1</v>
      </c>
      <c r="I8" t="s">
        <v>1</v>
      </c>
      <c r="J8" t="s">
        <v>1</v>
      </c>
      <c r="K8" t="s">
        <v>1</v>
      </c>
    </row>
    <row r="9" spans="1:11" x14ac:dyDescent="0.3">
      <c r="B9" t="str">
        <f t="shared" si="0"/>
        <v>". . . . . . . ."</v>
      </c>
      <c r="C9" t="s">
        <v>30</v>
      </c>
      <c r="D9" t="s">
        <v>1</v>
      </c>
      <c r="E9" t="s">
        <v>1</v>
      </c>
      <c r="F9" t="s">
        <v>1</v>
      </c>
      <c r="G9" t="s">
        <v>1</v>
      </c>
      <c r="H9" t="s">
        <v>1</v>
      </c>
      <c r="I9" t="s">
        <v>1</v>
      </c>
      <c r="J9" t="s">
        <v>1</v>
      </c>
      <c r="K9" t="s">
        <v>1</v>
      </c>
    </row>
    <row r="10" spans="1:11" x14ac:dyDescent="0.3">
      <c r="A10">
        <v>11</v>
      </c>
      <c r="B10" t="str">
        <f t="shared" si="0"/>
        <v>". . . . . . . ."</v>
      </c>
      <c r="C10" t="s">
        <v>30</v>
      </c>
      <c r="D10" t="s">
        <v>1</v>
      </c>
      <c r="E10" t="s">
        <v>1</v>
      </c>
      <c r="F10" t="s">
        <v>1</v>
      </c>
      <c r="G10" t="s">
        <v>1</v>
      </c>
      <c r="H10" t="s">
        <v>1</v>
      </c>
      <c r="I10" t="s">
        <v>1</v>
      </c>
      <c r="J10" t="s">
        <v>1</v>
      </c>
      <c r="K10" t="s">
        <v>1</v>
      </c>
    </row>
    <row r="11" spans="1:11" x14ac:dyDescent="0.3">
      <c r="B11" t="str">
        <f t="shared" si="0"/>
        <v>". . . . . . . ."</v>
      </c>
      <c r="C11" t="s">
        <v>30</v>
      </c>
      <c r="D11" t="s">
        <v>1</v>
      </c>
      <c r="E11" t="s">
        <v>1</v>
      </c>
      <c r="F11" t="s">
        <v>1</v>
      </c>
      <c r="G11" t="s">
        <v>1</v>
      </c>
      <c r="H11" t="s">
        <v>1</v>
      </c>
      <c r="I11" t="s">
        <v>1</v>
      </c>
      <c r="J11" t="s">
        <v>1</v>
      </c>
      <c r="K11" t="s">
        <v>1</v>
      </c>
    </row>
    <row r="12" spans="1:11" x14ac:dyDescent="0.3">
      <c r="A12">
        <v>12</v>
      </c>
      <c r="B12" t="str">
        <f t="shared" si="0"/>
        <v>". . mark-13-8b . . . . ."</v>
      </c>
      <c r="C12" t="s">
        <v>30</v>
      </c>
      <c r="D12" t="s">
        <v>1</v>
      </c>
      <c r="E12" t="s">
        <v>1</v>
      </c>
      <c r="F12" t="s">
        <v>557</v>
      </c>
      <c r="G12" t="s">
        <v>1</v>
      </c>
      <c r="H12" t="s">
        <v>1</v>
      </c>
      <c r="I12" t="s">
        <v>1</v>
      </c>
      <c r="J12" t="s">
        <v>1</v>
      </c>
      <c r="K12" t="s">
        <v>1</v>
      </c>
    </row>
    <row r="13" spans="1:11" x14ac:dyDescent="0.3">
      <c r="B13" t="str">
        <f t="shared" si="0"/>
        <v>". . . . . . . ."</v>
      </c>
      <c r="C13" t="s">
        <v>30</v>
      </c>
      <c r="D13" t="s">
        <v>1</v>
      </c>
      <c r="E13" t="s">
        <v>1</v>
      </c>
      <c r="F13" t="s">
        <v>1</v>
      </c>
      <c r="G13" t="s">
        <v>1</v>
      </c>
      <c r="H13" t="s">
        <v>1</v>
      </c>
      <c r="I13" t="s">
        <v>1</v>
      </c>
      <c r="J13" t="s">
        <v>1</v>
      </c>
      <c r="K13" t="s">
        <v>1</v>
      </c>
    </row>
    <row r="14" spans="1:11" x14ac:dyDescent="0.3">
      <c r="A14">
        <v>13</v>
      </c>
      <c r="B14" t="str">
        <f t="shared" si="0"/>
        <v>". . . . . . . ."</v>
      </c>
      <c r="C14" t="s">
        <v>30</v>
      </c>
      <c r="D14" t="s">
        <v>1</v>
      </c>
      <c r="E14" t="s">
        <v>1</v>
      </c>
      <c r="F14" t="s">
        <v>1</v>
      </c>
      <c r="G14" t="s">
        <v>1</v>
      </c>
      <c r="H14" t="s">
        <v>1</v>
      </c>
      <c r="I14" t="s">
        <v>1</v>
      </c>
      <c r="J14" t="s">
        <v>1</v>
      </c>
      <c r="K14" t="s">
        <v>1</v>
      </c>
    </row>
    <row r="15" spans="1:11" x14ac:dyDescent="0.3">
      <c r="B15" t="str">
        <f t="shared" si="0"/>
        <v>". . . . . . . ."</v>
      </c>
      <c r="C15" t="s">
        <v>30</v>
      </c>
      <c r="D15" t="s">
        <v>1</v>
      </c>
      <c r="E15" t="s">
        <v>1</v>
      </c>
      <c r="F15" t="s">
        <v>1</v>
      </c>
      <c r="G15" t="s">
        <v>1</v>
      </c>
      <c r="H15" t="s">
        <v>1</v>
      </c>
      <c r="I15" t="s">
        <v>1</v>
      </c>
      <c r="J15" t="s">
        <v>1</v>
      </c>
      <c r="K15" t="s">
        <v>1</v>
      </c>
    </row>
    <row r="16" spans="1:11" x14ac:dyDescent="0.3">
      <c r="A16">
        <v>14</v>
      </c>
      <c r="B16" t="str">
        <f t="shared" si="0"/>
        <v>". . . . . . . ."</v>
      </c>
      <c r="C16" t="s">
        <v>30</v>
      </c>
      <c r="D16" t="s">
        <v>1</v>
      </c>
      <c r="E16" t="s">
        <v>1</v>
      </c>
      <c r="F16" t="s">
        <v>1</v>
      </c>
      <c r="G16" t="s">
        <v>1</v>
      </c>
      <c r="H16" t="s">
        <v>1</v>
      </c>
      <c r="I16" t="s">
        <v>1</v>
      </c>
      <c r="J16" t="s">
        <v>1</v>
      </c>
      <c r="K16" t="s">
        <v>1</v>
      </c>
    </row>
    <row r="17" spans="1:11" x14ac:dyDescent="0.3">
      <c r="B17" t="str">
        <f t="shared" si="0"/>
        <v>". . . . . . . ."</v>
      </c>
      <c r="C17" t="s">
        <v>30</v>
      </c>
      <c r="D17" t="s">
        <v>1</v>
      </c>
      <c r="E17" t="s">
        <v>1</v>
      </c>
      <c r="F17" t="s">
        <v>1</v>
      </c>
      <c r="G17" t="s">
        <v>1</v>
      </c>
      <c r="H17" t="s">
        <v>1</v>
      </c>
      <c r="I17" t="s">
        <v>1</v>
      </c>
      <c r="J17" t="s">
        <v>1</v>
      </c>
      <c r="K17" t="s">
        <v>1</v>
      </c>
    </row>
    <row r="18" spans="1:11" x14ac:dyDescent="0.3">
      <c r="A18">
        <v>15</v>
      </c>
      <c r="B18" t="str">
        <f t="shared" si="0"/>
        <v>". . luke-21-11a . . . . ."</v>
      </c>
      <c r="C18" t="s">
        <v>30</v>
      </c>
      <c r="D18" t="s">
        <v>1</v>
      </c>
      <c r="E18" t="s">
        <v>1</v>
      </c>
      <c r="F18" t="s">
        <v>577</v>
      </c>
      <c r="G18" t="s">
        <v>1</v>
      </c>
      <c r="H18" t="s">
        <v>1</v>
      </c>
      <c r="I18" t="s">
        <v>1</v>
      </c>
      <c r="J18" t="s">
        <v>1</v>
      </c>
      <c r="K18" t="s">
        <v>1</v>
      </c>
    </row>
    <row r="19" spans="1:11" x14ac:dyDescent="0.3">
      <c r="B19" t="str">
        <f t="shared" si="0"/>
        <v>". . . . . . . ."</v>
      </c>
      <c r="C19" t="s">
        <v>30</v>
      </c>
      <c r="D19" t="s">
        <v>1</v>
      </c>
      <c r="E19" t="s">
        <v>1</v>
      </c>
      <c r="F19" t="s">
        <v>1</v>
      </c>
      <c r="G19" t="s">
        <v>1</v>
      </c>
      <c r="H19" t="s">
        <v>1</v>
      </c>
      <c r="I19" t="s">
        <v>1</v>
      </c>
      <c r="J19" t="s">
        <v>1</v>
      </c>
      <c r="K19" t="s">
        <v>1</v>
      </c>
    </row>
    <row r="20" spans="1:11" x14ac:dyDescent="0.3">
      <c r="A20">
        <v>16</v>
      </c>
      <c r="B20" t="str">
        <f t="shared" si="0"/>
        <v>". . . . . . . ."</v>
      </c>
      <c r="C20" t="s">
        <v>30</v>
      </c>
      <c r="D20" t="s">
        <v>1</v>
      </c>
      <c r="E20" t="s">
        <v>1</v>
      </c>
      <c r="F20" t="s">
        <v>1</v>
      </c>
      <c r="G20" t="s">
        <v>1</v>
      </c>
      <c r="H20" t="s">
        <v>1</v>
      </c>
      <c r="I20" t="s">
        <v>1</v>
      </c>
      <c r="J20" t="s">
        <v>1</v>
      </c>
      <c r="K20" t="s">
        <v>1</v>
      </c>
    </row>
    <row r="21" spans="1:11" x14ac:dyDescent="0.3">
      <c r="B21" t="str">
        <f t="shared" si="0"/>
        <v>". . . . . . . ."</v>
      </c>
      <c r="C21" t="s">
        <v>30</v>
      </c>
      <c r="D21" t="s">
        <v>1</v>
      </c>
      <c r="E21" t="s">
        <v>1</v>
      </c>
      <c r="F21" t="s">
        <v>1</v>
      </c>
      <c r="G21" t="s">
        <v>1</v>
      </c>
      <c r="H21" t="s">
        <v>1</v>
      </c>
      <c r="I21" t="s">
        <v>1</v>
      </c>
      <c r="J21" t="s">
        <v>1</v>
      </c>
      <c r="K21" t="s">
        <v>1</v>
      </c>
    </row>
    <row r="22" spans="1:11" x14ac:dyDescent="0.3">
      <c r="A22">
        <v>17</v>
      </c>
      <c r="B22" t="str">
        <f t="shared" si="0"/>
        <v>". . . . . . . ."</v>
      </c>
      <c r="C22" t="s">
        <v>30</v>
      </c>
      <c r="D22" t="s">
        <v>1</v>
      </c>
      <c r="E22" t="s">
        <v>1</v>
      </c>
      <c r="F22" t="s">
        <v>1</v>
      </c>
      <c r="G22" t="s">
        <v>1</v>
      </c>
      <c r="H22" t="s">
        <v>1</v>
      </c>
      <c r="I22" t="s">
        <v>1</v>
      </c>
      <c r="J22" t="s">
        <v>1</v>
      </c>
      <c r="K22" t="s">
        <v>1</v>
      </c>
    </row>
    <row r="23" spans="1:11" x14ac:dyDescent="0.3">
      <c r="B23" t="str">
        <f t="shared" si="0"/>
        <v>". . . . . . . ."</v>
      </c>
      <c r="C23" t="s">
        <v>30</v>
      </c>
      <c r="D23" t="s">
        <v>1</v>
      </c>
      <c r="E23" t="s">
        <v>1</v>
      </c>
      <c r="F23" t="s">
        <v>1</v>
      </c>
      <c r="G23" t="s">
        <v>1</v>
      </c>
      <c r="H23" t="s">
        <v>1</v>
      </c>
      <c r="I23" t="s">
        <v>1</v>
      </c>
      <c r="J23" t="s">
        <v>1</v>
      </c>
      <c r="K23" t="s">
        <v>1</v>
      </c>
    </row>
    <row r="24" spans="1:11" x14ac:dyDescent="0.3">
      <c r="A24">
        <v>18</v>
      </c>
      <c r="B24" t="str">
        <f t="shared" si="0"/>
        <v>". . . . . . . ."</v>
      </c>
      <c r="C24" t="s">
        <v>30</v>
      </c>
      <c r="D24" t="s">
        <v>1</v>
      </c>
      <c r="E24" t="s">
        <v>1</v>
      </c>
      <c r="F24" t="s">
        <v>1</v>
      </c>
      <c r="G24" t="s">
        <v>1</v>
      </c>
      <c r="H24" t="s">
        <v>1</v>
      </c>
      <c r="I24" t="s">
        <v>1</v>
      </c>
      <c r="J24" t="s">
        <v>1</v>
      </c>
      <c r="K24" t="s">
        <v>1</v>
      </c>
    </row>
    <row r="25" spans="1:11" x14ac:dyDescent="0.3">
      <c r="B25" t="str">
        <f t="shared" si="0"/>
        <v>". . . . . . . ."</v>
      </c>
      <c r="C25" t="s">
        <v>30</v>
      </c>
      <c r="D25" t="s">
        <v>1</v>
      </c>
      <c r="E25" t="s">
        <v>1</v>
      </c>
      <c r="F25" t="s">
        <v>1</v>
      </c>
      <c r="G25" t="s">
        <v>1</v>
      </c>
      <c r="H25" t="s">
        <v>1</v>
      </c>
      <c r="I25" t="s">
        <v>1</v>
      </c>
      <c r="J25" t="s">
        <v>1</v>
      </c>
      <c r="K25" t="s">
        <v>1</v>
      </c>
    </row>
    <row r="26" spans="1:11" x14ac:dyDescent="0.3">
      <c r="A26">
        <v>19</v>
      </c>
      <c r="B26" t="str">
        <f t="shared" si="0"/>
        <v>". . mat-24-7b . . . . ."</v>
      </c>
      <c r="C26" t="s">
        <v>30</v>
      </c>
      <c r="D26" t="s">
        <v>1</v>
      </c>
      <c r="E26" t="s">
        <v>1</v>
      </c>
      <c r="F26" t="s">
        <v>596</v>
      </c>
      <c r="G26" t="s">
        <v>1</v>
      </c>
      <c r="H26" t="s">
        <v>1</v>
      </c>
      <c r="I26" t="s">
        <v>1</v>
      </c>
      <c r="J26" t="s">
        <v>1</v>
      </c>
      <c r="K26" t="s">
        <v>1</v>
      </c>
    </row>
    <row r="27" spans="1:11" x14ac:dyDescent="0.3">
      <c r="B27" t="str">
        <f t="shared" si="0"/>
        <v>". . . . . . . ."</v>
      </c>
      <c r="C27" t="s">
        <v>30</v>
      </c>
      <c r="D27" t="s">
        <v>1</v>
      </c>
      <c r="E27" t="s">
        <v>1</v>
      </c>
      <c r="F27" t="s">
        <v>1</v>
      </c>
      <c r="G27" t="s">
        <v>1</v>
      </c>
      <c r="H27" t="s">
        <v>1</v>
      </c>
      <c r="I27" t="s">
        <v>1</v>
      </c>
      <c r="J27" t="s">
        <v>1</v>
      </c>
      <c r="K27" t="s">
        <v>1</v>
      </c>
    </row>
    <row r="28" spans="1:11" x14ac:dyDescent="0.3">
      <c r="A28">
        <v>20</v>
      </c>
      <c r="B28" t="str">
        <f t="shared" si="0"/>
        <v>". . . . . . . ."</v>
      </c>
      <c r="C28" t="s">
        <v>30</v>
      </c>
      <c r="D28" t="s">
        <v>1</v>
      </c>
      <c r="E28" t="s">
        <v>1</v>
      </c>
      <c r="F28" t="s">
        <v>1</v>
      </c>
      <c r="G28" t="s">
        <v>1</v>
      </c>
      <c r="H28" t="s">
        <v>1</v>
      </c>
      <c r="I28" t="s">
        <v>1</v>
      </c>
      <c r="J28" t="s">
        <v>1</v>
      </c>
      <c r="K28" t="s">
        <v>1</v>
      </c>
    </row>
    <row r="29" spans="1:11" x14ac:dyDescent="0.3">
      <c r="B29" t="str">
        <f t="shared" si="0"/>
        <v>". . . . . . . ."</v>
      </c>
      <c r="C29" t="s">
        <v>30</v>
      </c>
      <c r="D29" t="s">
        <v>1</v>
      </c>
      <c r="E29" t="s">
        <v>1</v>
      </c>
      <c r="F29" t="s">
        <v>1</v>
      </c>
      <c r="G29" t="s">
        <v>1</v>
      </c>
      <c r="H29" t="s">
        <v>1</v>
      </c>
      <c r="I29" t="s">
        <v>1</v>
      </c>
      <c r="J29" t="s">
        <v>1</v>
      </c>
      <c r="K29" t="s">
        <v>1</v>
      </c>
    </row>
    <row r="30" spans="1:11" x14ac:dyDescent="0.3">
      <c r="A30">
        <v>21</v>
      </c>
      <c r="B30" t="str">
        <f t="shared" si="0"/>
        <v>". . rev-18-8 . . . . ."</v>
      </c>
      <c r="C30" t="s">
        <v>30</v>
      </c>
      <c r="D30" t="s">
        <v>1</v>
      </c>
      <c r="E30" t="s">
        <v>1</v>
      </c>
      <c r="F30" t="s">
        <v>609</v>
      </c>
      <c r="G30" t="s">
        <v>1</v>
      </c>
      <c r="H30" t="s">
        <v>1</v>
      </c>
      <c r="I30" t="s">
        <v>1</v>
      </c>
      <c r="J30" t="s">
        <v>1</v>
      </c>
      <c r="K30" t="s">
        <v>1</v>
      </c>
    </row>
    <row r="31" spans="1:11" x14ac:dyDescent="0.3">
      <c r="B31" t="str">
        <f t="shared" si="0"/>
        <v>". . . . . . . ."</v>
      </c>
      <c r="C31" t="s">
        <v>30</v>
      </c>
      <c r="D31" t="s">
        <v>1</v>
      </c>
      <c r="E31" t="s">
        <v>1</v>
      </c>
      <c r="F31" t="s">
        <v>1</v>
      </c>
      <c r="G31" t="s">
        <v>1</v>
      </c>
      <c r="H31" t="s">
        <v>1</v>
      </c>
      <c r="I31" t="s">
        <v>1</v>
      </c>
      <c r="J31" t="s">
        <v>1</v>
      </c>
      <c r="K31" t="s">
        <v>1</v>
      </c>
    </row>
    <row r="32" spans="1:11" x14ac:dyDescent="0.3">
      <c r="A32">
        <v>22</v>
      </c>
      <c r="B32" t="str">
        <f t="shared" si="0"/>
        <v>". . es2-15-16 . . . . ."</v>
      </c>
      <c r="C32" t="s">
        <v>30</v>
      </c>
      <c r="D32" t="s">
        <v>1</v>
      </c>
      <c r="E32" t="s">
        <v>1</v>
      </c>
      <c r="F32" t="s">
        <v>616</v>
      </c>
      <c r="G32" t="s">
        <v>1</v>
      </c>
      <c r="H32" t="s">
        <v>1</v>
      </c>
      <c r="I32" t="s">
        <v>1</v>
      </c>
      <c r="J32" t="s">
        <v>1</v>
      </c>
      <c r="K32" t="s">
        <v>1</v>
      </c>
    </row>
    <row r="33" spans="1:11" x14ac:dyDescent="0.3">
      <c r="B33" t="str">
        <f t="shared" si="0"/>
        <v>". . . . . . . ."</v>
      </c>
      <c r="C33" t="s">
        <v>30</v>
      </c>
      <c r="D33" t="s">
        <v>1</v>
      </c>
      <c r="E33" t="s">
        <v>1</v>
      </c>
      <c r="F33" t="s">
        <v>1</v>
      </c>
      <c r="G33" t="s">
        <v>1</v>
      </c>
      <c r="H33" t="s">
        <v>1</v>
      </c>
      <c r="I33" t="s">
        <v>1</v>
      </c>
      <c r="J33" t="s">
        <v>1</v>
      </c>
      <c r="K33" t="s">
        <v>1</v>
      </c>
    </row>
    <row r="34" spans="1:11" x14ac:dyDescent="0.3">
      <c r="A34">
        <v>23</v>
      </c>
      <c r="B34" t="str">
        <f t="shared" si="0"/>
        <v>". . . . . . . ."</v>
      </c>
      <c r="C34" t="s">
        <v>30</v>
      </c>
      <c r="D34" t="s">
        <v>1</v>
      </c>
      <c r="E34" t="s">
        <v>1</v>
      </c>
      <c r="F34" t="s">
        <v>1</v>
      </c>
      <c r="G34" t="s">
        <v>1</v>
      </c>
      <c r="H34" t="s">
        <v>1</v>
      </c>
      <c r="I34" t="s">
        <v>1</v>
      </c>
      <c r="J34" t="s">
        <v>1</v>
      </c>
      <c r="K34" t="s">
        <v>1</v>
      </c>
    </row>
    <row r="35" spans="1:11" x14ac:dyDescent="0.3">
      <c r="B35" t="str">
        <f t="shared" si="0"/>
        <v>". . . . . . . ."</v>
      </c>
      <c r="C35" t="s">
        <v>30</v>
      </c>
      <c r="D35" t="s">
        <v>1</v>
      </c>
      <c r="E35" t="s">
        <v>1</v>
      </c>
      <c r="F35" t="s">
        <v>1</v>
      </c>
      <c r="G35" t="s">
        <v>1</v>
      </c>
      <c r="H35" t="s">
        <v>1</v>
      </c>
      <c r="I35" t="s">
        <v>1</v>
      </c>
      <c r="J35" t="s">
        <v>1</v>
      </c>
      <c r="K35" t="s">
        <v>1</v>
      </c>
    </row>
    <row r="36" spans="1:11" x14ac:dyDescent="0.3">
      <c r="A36">
        <v>24</v>
      </c>
      <c r="B36" t="str">
        <f t="shared" si="0"/>
        <v>". . . . . . . ."</v>
      </c>
      <c r="C36" t="s">
        <v>30</v>
      </c>
      <c r="D36" t="s">
        <v>1</v>
      </c>
      <c r="E36" t="s">
        <v>1</v>
      </c>
      <c r="F36" t="s">
        <v>1</v>
      </c>
      <c r="G36" t="s">
        <v>1</v>
      </c>
      <c r="H36" t="s">
        <v>1</v>
      </c>
      <c r="I36" t="s">
        <v>1</v>
      </c>
      <c r="J36" t="s">
        <v>1</v>
      </c>
      <c r="K36" t="s">
        <v>1</v>
      </c>
    </row>
    <row r="37" spans="1:11" x14ac:dyDescent="0.3">
      <c r="B37" t="str">
        <f t="shared" si="0"/>
        <v>". . . . . . . ."</v>
      </c>
      <c r="C37" t="s">
        <v>30</v>
      </c>
      <c r="D37" t="s">
        <v>1</v>
      </c>
      <c r="E37" t="s">
        <v>1</v>
      </c>
      <c r="F37" t="s">
        <v>1</v>
      </c>
      <c r="G37" t="s">
        <v>1</v>
      </c>
      <c r="H37" t="s">
        <v>1</v>
      </c>
      <c r="I37" t="s">
        <v>1</v>
      </c>
      <c r="J37" t="s">
        <v>1</v>
      </c>
      <c r="K37" t="s">
        <v>1</v>
      </c>
    </row>
    <row r="38" spans="1:11" x14ac:dyDescent="0.3">
      <c r="A38">
        <v>25</v>
      </c>
      <c r="B38" t="str">
        <f t="shared" si="0"/>
        <v>". . es2-16-18 . . . . ."</v>
      </c>
      <c r="C38" t="s">
        <v>30</v>
      </c>
      <c r="D38" t="s">
        <v>1</v>
      </c>
      <c r="E38" t="s">
        <v>1</v>
      </c>
      <c r="F38" t="s">
        <v>636</v>
      </c>
      <c r="G38" t="s">
        <v>1</v>
      </c>
      <c r="H38" t="s">
        <v>1</v>
      </c>
      <c r="I38" t="s">
        <v>1</v>
      </c>
      <c r="J38" t="s">
        <v>1</v>
      </c>
      <c r="K38" t="s">
        <v>1</v>
      </c>
    </row>
    <row r="39" spans="1:11" x14ac:dyDescent="0.3">
      <c r="B39" t="str">
        <f t="shared" si="0"/>
        <v>". . . . . . . ."</v>
      </c>
      <c r="C39" t="s">
        <v>30</v>
      </c>
      <c r="D39" t="s">
        <v>1</v>
      </c>
      <c r="E39" t="s">
        <v>1</v>
      </c>
      <c r="F39" t="s">
        <v>1</v>
      </c>
      <c r="G39" t="s">
        <v>1</v>
      </c>
      <c r="H39" t="s">
        <v>1</v>
      </c>
      <c r="I39" t="s">
        <v>1</v>
      </c>
      <c r="J39" t="s">
        <v>1</v>
      </c>
      <c r="K39" t="s">
        <v>1</v>
      </c>
    </row>
    <row r="40" spans="1:11" x14ac:dyDescent="0.3">
      <c r="A40">
        <v>26</v>
      </c>
      <c r="B40" t="str">
        <f t="shared" si="0"/>
        <v>". . . . . . . ."</v>
      </c>
      <c r="C40" t="s">
        <v>30</v>
      </c>
      <c r="D40" t="s">
        <v>1</v>
      </c>
      <c r="E40" t="s">
        <v>1</v>
      </c>
      <c r="F40" t="s">
        <v>1</v>
      </c>
      <c r="G40" t="s">
        <v>1</v>
      </c>
      <c r="H40" t="s">
        <v>1</v>
      </c>
      <c r="I40" t="s">
        <v>1</v>
      </c>
      <c r="J40" t="s">
        <v>1</v>
      </c>
      <c r="K40" t="s">
        <v>1</v>
      </c>
    </row>
    <row r="42" spans="1:11" x14ac:dyDescent="0.3">
      <c r="A42">
        <v>27</v>
      </c>
    </row>
    <row r="44" spans="1:11" x14ac:dyDescent="0.3">
      <c r="A44">
        <v>28</v>
      </c>
    </row>
    <row r="46" spans="1:11" x14ac:dyDescent="0.3">
      <c r="A46">
        <v>29</v>
      </c>
    </row>
    <row r="48" spans="1:11" x14ac:dyDescent="0.3">
      <c r="A48">
        <v>30</v>
      </c>
    </row>
    <row r="50" spans="1:1" x14ac:dyDescent="0.3">
      <c r="A50">
        <v>31</v>
      </c>
    </row>
    <row r="52" spans="1:1" x14ac:dyDescent="0.3">
      <c r="A52">
        <v>32</v>
      </c>
    </row>
    <row r="54" spans="1:1" x14ac:dyDescent="0.3">
      <c r="A54">
        <v>33</v>
      </c>
    </row>
    <row r="56" spans="1:1" x14ac:dyDescent="0.3">
      <c r="A56">
        <v>34</v>
      </c>
    </row>
    <row r="58" spans="1:1" x14ac:dyDescent="0.3">
      <c r="A58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Progress Layout</vt:lpstr>
      <vt:lpstr>Tabs Layout</vt:lpstr>
      <vt:lpstr>Seal 1 Layout</vt:lpstr>
      <vt:lpstr>Seal 2 Layout</vt:lpstr>
      <vt:lpstr>Seal 3 Layout</vt:lpstr>
      <vt:lpstr>Seal 4 Layout</vt:lpstr>
      <vt:lpstr>Seal 5 Layout</vt:lpstr>
      <vt:lpstr>Seal 6 Layout</vt:lpstr>
      <vt:lpstr>Rapture Layout</vt:lpstr>
      <vt:lpstr>Seal 7 Layout</vt:lpstr>
      <vt:lpstr>Trumpet 1</vt:lpstr>
      <vt:lpstr>Trumpet 2</vt:lpstr>
      <vt:lpstr>Trumpet 3</vt:lpstr>
      <vt:lpstr>Trumpet 4</vt:lpstr>
      <vt:lpstr>Trumpet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 Campher</dc:creator>
  <cp:lastModifiedBy>Jaco Campher</cp:lastModifiedBy>
  <dcterms:created xsi:type="dcterms:W3CDTF">2024-06-05T16:09:26Z</dcterms:created>
  <dcterms:modified xsi:type="dcterms:W3CDTF">2026-03-31T13:31:00Z</dcterms:modified>
</cp:coreProperties>
</file>